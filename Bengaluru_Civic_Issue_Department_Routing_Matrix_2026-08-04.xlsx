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uting Matrix" sheetId="2" state="visible" r:id="rId2"/>
    <sheet xmlns:r="http://schemas.openxmlformats.org/officeDocument/2006/relationships" name="Agency Directory" sheetId="3" state="visible" r:id="rId3"/>
    <sheet xmlns:r="http://schemas.openxmlformats.org/officeDocument/2006/relationships" name="Multi-Dept Rules" sheetId="4" state="visible" r:id="rId4"/>
    <sheet xmlns:r="http://schemas.openxmlformats.org/officeDocument/2006/relationships" name="AI Implementation" sheetId="5" state="visible" r:id="rId5"/>
    <sheet xmlns:r="http://schemas.openxmlformats.org/officeDocument/2006/relationships" name="AI Test Cases" sheetId="6" state="visible" r:id="rId6"/>
    <sheet xmlns:r="http://schemas.openxmlformats.org/officeDocument/2006/relationships" name="Validation Gaps" sheetId="7" state="visible" r:id="rId7"/>
    <sheet xmlns:r="http://schemas.openxmlformats.org/officeDocument/2006/relationships" name="Source Register" sheetId="8" state="visible" r:id="rId8"/>
  </sheets>
  <definedNames>
    <definedName name="_xlnm._FilterDatabase" localSheetId="1" hidden="1">'Routing Matrix'!$A$2:$P$142</definedName>
    <definedName name="_xlnm._FilterDatabase" localSheetId="2" hidden="1">'Agency Directory'!$A$2:$F$24</definedName>
    <definedName name="_xlnm._FilterDatabase" localSheetId="3" hidden="1">'Multi-Dept Rules'!$A$2:$G$27</definedName>
    <definedName name="_xlnm._FilterDatabase" localSheetId="4" hidden="1">'AI Implementation'!$A$2:$E$22</definedName>
    <definedName name="_xlnm._FilterDatabase" localSheetId="5" hidden="1">'AI Test Cases'!$A$2:$G$22</definedName>
    <definedName name="_xlnm._FilterDatabase" localSheetId="6" hidden="1">'Validation Gaps'!$A$2:$E$13</definedName>
    <definedName name="_xlnm._FilterDatabase" localSheetId="7" hidden="1">'Source Register'!$A$2:$E$28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C00000"/>
    </font>
    <font>
      <b val="1"/>
      <color rgb="00FFFFFF"/>
    </font>
    <font>
      <b val="1"/>
      <color rgb="00000000"/>
    </font>
    <font>
      <color rgb="00666666"/>
    </font>
    <font>
      <b val="1"/>
      <color rgb="007030A0"/>
    </font>
    <font>
      <b val="1"/>
      <color rgb="00008000"/>
    </font>
    <font>
      <color rgb="00666666"/>
      <sz val="10"/>
    </font>
    <font>
      <color rgb="007030A0"/>
      <sz val="10"/>
    </font>
    <font>
      <color rgb="00008000"/>
      <sz val="10"/>
    </font>
    <font>
      <b val="1"/>
      <color rgb="009C57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F4CCCC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2">
    <xf numFmtId="0" fontId="0" fillId="0" borderId="0"/>
    <xf numFmtId="0" fontId="13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5" borderId="0" pivotButton="0" quotePrefix="0" xfId="0"/>
    <xf numFmtId="0" fontId="7" fillId="0" borderId="0" pivotButton="0" quotePrefix="0" xfId="0"/>
    <xf numFmtId="0" fontId="4" fillId="4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3" fillId="6" borderId="0" pivotButton="0" quotePrefix="0" xfId="0"/>
    <xf numFmtId="0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/>
    </xf>
    <xf numFmtId="0" fontId="11" fillId="0" borderId="2" applyAlignment="1" pivotButton="0" quotePrefix="0" xfId="1">
      <alignment vertical="top" wrapText="1"/>
    </xf>
    <xf numFmtId="165" fontId="9" fillId="0" borderId="2" applyAlignment="1" pivotButton="0" quotePrefix="0" xfId="0">
      <alignment vertical="top" wrapText="1"/>
    </xf>
    <xf numFmtId="0" fontId="11" fillId="7" borderId="2" applyAlignment="1" pivotButton="0" quotePrefix="0" xfId="1">
      <alignment vertical="top" wrapText="1"/>
    </xf>
    <xf numFmtId="165" fontId="9" fillId="7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gba.karnataka.gov.in/" TargetMode="External" Id="rId1"/><Relationship Type="http://schemas.openxmlformats.org/officeDocument/2006/relationships/hyperlink" Target="https://gba.karnataka.gov.in/gba-corporations-delimitation-2025/index.html" TargetMode="External" Id="rId2"/><Relationship Type="http://schemas.openxmlformats.org/officeDocument/2006/relationships/hyperlink" Target="https://sahaaya2.bbmp.gov.in/Grievance/ReviewReport.aspx" TargetMode="External" Id="rId3"/><Relationship Type="http://schemas.openxmlformats.org/officeDocument/2006/relationships/hyperlink" Target="https://site.bbmp.gov.in/departmentwebsites/BBMPIT/fms.html" TargetMode="External" Id="rId4"/><Relationship Type="http://schemas.openxmlformats.org/officeDocument/2006/relationships/hyperlink" Target="https://site.bbmp.gov.in/departmentwebsites/Eng/about.html" TargetMode="External" Id="rId5"/><Relationship Type="http://schemas.openxmlformats.org/officeDocument/2006/relationships/hyperlink" Target="https://site.bbmp.gov.in/departmentwebsites/Eng/indexEnglish.html" TargetMode="External" Id="rId6"/><Relationship Type="http://schemas.openxmlformats.org/officeDocument/2006/relationships/hyperlink" Target="https://site.bbmp.gov.in/departmentwebsites/Eng/EngDuct.html" TargetMode="External" Id="rId7"/><Relationship Type="http://schemas.openxmlformats.org/officeDocument/2006/relationships/hyperlink" Target="https://site.bbmp.gov.in/departmentwebsites/bbmpit/marcs.html" TargetMode="External" Id="rId8"/><Relationship Type="http://schemas.openxmlformats.org/officeDocument/2006/relationships/hyperlink" Target="https://site.bbmp.gov.in/departmentwebsites/swm/" TargetMode="External" Id="rId9"/><Relationship Type="http://schemas.openxmlformats.org/officeDocument/2006/relationships/hyperlink" Target="https://site.bbmp.gov.in/departmentwebsites/lakes/Activities.html" TargetMode="External" Id="rId10"/><Relationship Type="http://schemas.openxmlformats.org/officeDocument/2006/relationships/hyperlink" Target="https://site.bbmp.gov.in/departmentwebsites/Lakes/Abstract.html" TargetMode="External" Id="rId11"/><Relationship Type="http://schemas.openxmlformats.org/officeDocument/2006/relationships/hyperlink" Target="https://site.bbmp.gov.in/encroachment.html" TargetMode="External" Id="rId12"/><Relationship Type="http://schemas.openxmlformats.org/officeDocument/2006/relationships/hyperlink" Target="https://bwssb.karnataka.gov.in/31/About%20BWSSB/en" TargetMode="External" Id="rId13"/><Relationship Type="http://schemas.openxmlformats.org/officeDocument/2006/relationships/hyperlink" Target="https://cms.bwssb.gov.in/module/complain/new_complaint" TargetMode="External" Id="rId14"/><Relationship Type="http://schemas.openxmlformats.org/officeDocument/2006/relationships/hyperlink" Target="https://bescom.karnataka.gov.in/301/Contact%20Us/en" TargetMode="External" Id="rId15"/><Relationship Type="http://schemas.openxmlformats.org/officeDocument/2006/relationships/hyperlink" Target="https://www.bescom.co.in/" TargetMode="External" Id="rId16"/><Relationship Type="http://schemas.openxmlformats.org/officeDocument/2006/relationships/hyperlink" Target="https://btp.karnataka.gov.in/200/be-aware-be-smart/en" TargetMode="External" Id="rId17"/><Relationship Type="http://schemas.openxmlformats.org/officeDocument/2006/relationships/hyperlink" Target="https://btp.karnataka.gov.in/tmc/en" TargetMode="External" Id="rId18"/><Relationship Type="http://schemas.openxmlformats.org/officeDocument/2006/relationships/hyperlink" Target="https://english.bmrc.co.in/contact/" TargetMode="External" Id="rId19"/><Relationship Type="http://schemas.openxmlformats.org/officeDocument/2006/relationships/hyperlink" Target="https://mybmtc.karnataka.gov.in/10/complaints/en" TargetMode="External" Id="rId20"/><Relationship Type="http://schemas.openxmlformats.org/officeDocument/2006/relationships/hyperlink" Target="https://kpwd.karnataka.gov.in/feedback/en" TargetMode="External" Id="rId21"/><Relationship Type="http://schemas.openxmlformats.org/officeDocument/2006/relationships/hyperlink" Target="https://www.krdcl.in/en/complaint" TargetMode="External" Id="rId22"/><Relationship Type="http://schemas.openxmlformats.org/officeDocument/2006/relationships/hyperlink" Target="https://kspcb.karnataka.gov.in/contact-us-0" TargetMode="External" Id="rId23"/><Relationship Type="http://schemas.openxmlformats.org/officeDocument/2006/relationships/hyperlink" Target="https://ksfes.karnataka.gov.in/en" TargetMode="External" Id="rId24"/><Relationship Type="http://schemas.openxmlformats.org/officeDocument/2006/relationships/hyperlink" Target="https://rajmargyatra.nhai.gov.in/" TargetMode="External" Id="rId25"/><Relationship Type="http://schemas.openxmlformats.org/officeDocument/2006/relationships/hyperlink" Target="https://site.bbmp.gov.in/departmentwebsites/Eng/ofc.htm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Bengaluru Civic Issue → Department Routing Matrix</t>
        </is>
      </c>
    </row>
    <row r="3">
      <c r="A3" s="2" t="inlineStr">
        <is>
          <t>Research date</t>
        </is>
      </c>
      <c r="B3" s="3" t="n">
        <v>46238</v>
      </c>
    </row>
    <row r="4">
      <c r="A4" s="2" t="inlineStr">
        <is>
          <t>Geographic scope</t>
        </is>
      </c>
      <c r="B4" s="4" t="inlineStr">
        <is>
          <t>Bengaluru (not Pune): GBA/city corporations, BWSSB, BESCOM, BTP and linked agencies.</t>
        </is>
      </c>
    </row>
    <row r="5">
      <c r="A5" s="2" t="inlineStr">
        <is>
          <t>Purpose</t>
        </is>
      </c>
      <c r="B5" s="4" t="inlineStr">
        <is>
          <t>A production-oriented starting taxonomy for AI complaint classification, asset-owner resolution and linked multi-department tasks.</t>
        </is>
      </c>
    </row>
    <row r="6">
      <c r="A6" s="2" t="inlineStr">
        <is>
          <t>Important limitation</t>
        </is>
      </c>
      <c r="B6" s="5" t="inlineStr">
        <is>
          <t>This is not a statutory allocation order. Final production routing must be validated with each agency because ownership, ward boundaries, maintenance contracts, project phases and escalation SLAs can change.</t>
        </is>
      </c>
    </row>
    <row r="8" ht="34" customHeight="1">
      <c r="A8" s="6" t="inlineStr">
        <is>
          <t>Metric</t>
        </is>
      </c>
      <c r="B8" s="6" t="inlineStr">
        <is>
          <t>Value</t>
        </is>
      </c>
      <c r="C8" s="6" t="inlineStr">
        <is>
          <t>Meaning</t>
        </is>
      </c>
    </row>
    <row r="9">
      <c r="A9" s="7" t="inlineStr">
        <is>
          <t>Total issue mappings</t>
        </is>
      </c>
      <c r="B9" s="8">
        <f>COUNTA('Routing Matrix'!B:B)-1</f>
        <v/>
      </c>
      <c r="C9" s="7" t="inlineStr">
        <is>
          <t>Rows in the detailed routing matrix</t>
        </is>
      </c>
    </row>
    <row r="10">
      <c r="A10" s="7" t="inlineStr">
        <is>
          <t>Mappings with a secondary route</t>
        </is>
      </c>
      <c r="B10" s="8">
        <f>COUNTIFS('Routing Matrix'!G:G,"&lt;&gt;",'Routing Matrix'!G:G,"&lt;&gt;None")-1</f>
        <v/>
      </c>
      <c r="C10" s="7" t="inlineStr">
        <is>
          <t>Potential linked child tasks</t>
        </is>
      </c>
    </row>
    <row r="11">
      <c r="A11" s="7" t="inlineStr">
        <is>
          <t>Emergency or conditional-emergency mappings</t>
        </is>
      </c>
      <c r="B11" s="8">
        <f>COUNTIF('Routing Matrix'!I:I,"Yes")+COUNTIF('Routing Matrix'!I:I,"Conditional")</f>
        <v/>
      </c>
      <c r="C11" s="7" t="inlineStr">
        <is>
          <t>Require safety triage before normal workflow</t>
        </is>
      </c>
    </row>
    <row r="12">
      <c r="A12" s="7" t="inlineStr">
        <is>
          <t>Official sources registered</t>
        </is>
      </c>
      <c r="B12" s="8">
        <f>COUNTA('Source Register'!A:A)-1</f>
        <v/>
      </c>
      <c r="C12" s="7" t="inlineStr">
        <is>
          <t>Government/agency sources used</t>
        </is>
      </c>
    </row>
    <row r="13">
      <c r="A13" s="7" t="inlineStr">
        <is>
          <t>Explicit multi-department rules</t>
        </is>
      </c>
      <c r="B13" s="8">
        <f>COUNTA('Multi-Dept Rules'!A:A)-1</f>
        <v/>
      </c>
      <c r="C13" s="7" t="inlineStr">
        <is>
          <t>Cross-agency workflow patterns</t>
        </is>
      </c>
    </row>
    <row r="16">
      <c r="A16" s="9" t="inlineStr">
        <is>
          <t>Recommended routing sequence</t>
        </is>
      </c>
    </row>
    <row r="17" ht="32" customHeight="1">
      <c r="A17" s="10" t="inlineStr">
        <is>
          <t>1. Safety triage</t>
        </is>
      </c>
      <c r="B17" s="4" t="inlineStr">
        <is>
          <t>Detect fire, collapse, live wire, people trapped, severe flooding or immediate crash risk. Dispatch 101/112/1912/1033 as applicable before routine routing.</t>
        </is>
      </c>
    </row>
    <row r="18" ht="32" customHeight="1">
      <c r="A18" s="10" t="inlineStr">
        <is>
          <t>2. Location resolution</t>
        </is>
      </c>
      <c r="B18" s="4" t="inlineStr">
        <is>
          <t>Use latitude/longitude to identify the GBA city corporation, ward and jurisdiction.</t>
        </is>
      </c>
    </row>
    <row r="19" ht="32" customHeight="1">
      <c r="A19" s="10" t="inlineStr">
        <is>
          <t>3. Asset-owner resolution</t>
        </is>
      </c>
      <c r="B19" s="4" t="inlineStr">
        <is>
          <t>Identify who owns the road, drain, lake, pole, park, bus shelter, bridge or project. Category alone must not decide ownership.</t>
        </is>
      </c>
    </row>
    <row r="20" ht="32" customHeight="1">
      <c r="A20" s="10" t="inlineStr">
        <is>
          <t>4. Primary classification</t>
        </is>
      </c>
      <c r="B20" s="4" t="inlineStr">
        <is>
          <t>Select the department responsible for fixing the root cause.</t>
        </is>
      </c>
    </row>
    <row r="21" ht="32" customHeight="1">
      <c r="A21" s="10" t="inlineStr">
        <is>
          <t>5. Conditional co-routing</t>
        </is>
      </c>
      <c r="B21" s="4" t="inlineStr">
        <is>
          <t>Create linked child tasks only when explicit triggers apply, such as traffic obstruction, road restoration, pollution, sanitation or emergency control.</t>
        </is>
      </c>
    </row>
    <row r="22" ht="32" customHeight="1">
      <c r="A22" s="10" t="inlineStr">
        <is>
          <t>6. Role-based visibility</t>
        </is>
      </c>
      <c r="B22" s="4" t="inlineStr">
        <is>
          <t>Department users see only their assigned child tasks; Super Admin sees the complete master complaint and all linked tasks.</t>
        </is>
      </c>
    </row>
    <row r="23" ht="32" customHeight="1">
      <c r="A23" s="10" t="inlineStr">
        <is>
          <t>7. Coordinated closure</t>
        </is>
      </c>
      <c r="B23" s="4" t="inlineStr">
        <is>
          <t>Close the master complaint only after required child tasks are completed in the correct dependency order.</t>
        </is>
      </c>
    </row>
    <row r="26">
      <c r="A26" s="11" t="inlineStr">
        <is>
          <t>Legend</t>
        </is>
      </c>
    </row>
    <row r="27">
      <c r="A27" s="12" t="inlineStr">
        <is>
          <t>Green text</t>
        </is>
      </c>
      <c r="B27" t="inlineStr">
        <is>
          <t>Imported or source-linked official information</t>
        </is>
      </c>
    </row>
    <row r="28">
      <c r="A28" s="10" t="inlineStr">
        <is>
          <t>Purple text</t>
        </is>
      </c>
      <c r="B28" t="inlineStr">
        <is>
          <t>Recommended routing/control logic</t>
        </is>
      </c>
    </row>
    <row r="29">
      <c r="A29" s="13" t="inlineStr">
        <is>
          <t>Orange fill</t>
        </is>
      </c>
      <c r="B29" t="inlineStr">
        <is>
          <t>Caution, conditional mapping or government validation needed</t>
        </is>
      </c>
    </row>
    <row r="30">
      <c r="A30" s="14" t="inlineStr">
        <is>
          <t>Red fill</t>
        </is>
      </c>
      <c r="B30" t="inlineStr">
        <is>
          <t>Emergency/safety flag</t>
        </is>
      </c>
    </row>
  </sheetData>
  <mergeCells count="13">
    <mergeCell ref="B22:H22"/>
    <mergeCell ref="B27:E27"/>
    <mergeCell ref="B17:H17"/>
    <mergeCell ref="B18:H18"/>
    <mergeCell ref="B21:H21"/>
    <mergeCell ref="A16:H16"/>
    <mergeCell ref="B28:E28"/>
    <mergeCell ref="B30:E30"/>
    <mergeCell ref="B29:E29"/>
    <mergeCell ref="A1:H1"/>
    <mergeCell ref="B19:H19"/>
    <mergeCell ref="B20:H20"/>
    <mergeCell ref="B23:H23"/>
  </mergeCell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2" customWidth="1" min="3" max="3"/>
    <col width="38" customWidth="1" min="4" max="4"/>
    <col width="34" customWidth="1" min="5" max="5"/>
    <col width="38" customWidth="1" min="6" max="6"/>
    <col width="38" customWidth="1" min="7" max="7"/>
    <col width="44" customWidth="1" min="8" max="8"/>
    <col width="14" customWidth="1" min="9" max="9"/>
    <col width="29" customWidth="1" min="10" max="10"/>
    <col width="32" customWidth="1" min="11" max="11"/>
    <col width="18" customWidth="1" min="12" max="12"/>
    <col width="30" customWidth="1" min="13" max="13"/>
    <col width="18" customWidth="1" min="14" max="14"/>
    <col width="48" customWidth="1" min="15" max="15"/>
    <col width="42" customWidth="1" min="16" max="16"/>
  </cols>
  <sheetData>
    <row r="1" ht="28" customHeight="1">
      <c r="A1" s="1" t="inlineStr">
        <is>
          <t>Detailed Issue Routing Matrix</t>
        </is>
      </c>
    </row>
    <row r="2" ht="34" customHeight="1">
      <c r="A2" s="6" t="inlineStr">
        <is>
          <t>ID</t>
        </is>
      </c>
      <c r="B2" s="6" t="inlineStr">
        <is>
          <t>Domain</t>
        </is>
      </c>
      <c r="C2" s="6" t="inlineStr">
        <is>
          <t>Issue Type</t>
        </is>
      </c>
      <c r="D2" s="6" t="inlineStr">
        <is>
          <t>Examples / Keywords</t>
        </is>
      </c>
      <c r="E2" s="6" t="inlineStr">
        <is>
          <t>Asset Owner Gate</t>
        </is>
      </c>
      <c r="F2" s="6" t="inlineStr">
        <is>
          <t>Primary Route</t>
        </is>
      </c>
      <c r="G2" s="6" t="inlineStr">
        <is>
          <t>Secondary / Linked Route</t>
        </is>
      </c>
      <c r="H2" s="6" t="inlineStr">
        <is>
          <t>Secondary Trigger</t>
        </is>
      </c>
      <c r="I2" s="6" t="inlineStr">
        <is>
          <t>Emergency</t>
        </is>
      </c>
      <c r="J2" s="6" t="inlineStr">
        <is>
          <t>Intake Channel</t>
        </is>
      </c>
      <c r="K2" s="6" t="inlineStr">
        <is>
          <t>Basis</t>
        </is>
      </c>
      <c r="L2" s="6" t="inlineStr">
        <is>
          <t>Confidence</t>
        </is>
      </c>
      <c r="M2" s="6" t="inlineStr">
        <is>
          <t>Human Review Trigger</t>
        </is>
      </c>
      <c r="N2" s="6" t="inlineStr">
        <is>
          <t>Source IDs</t>
        </is>
      </c>
      <c r="O2" s="6" t="inlineStr">
        <is>
          <t>Official Source URLs</t>
        </is>
      </c>
      <c r="P2" s="6" t="inlineStr">
        <is>
          <t>Implementation Notes</t>
        </is>
      </c>
    </row>
    <row r="3" ht="82" customHeight="1">
      <c r="A3" s="15" t="inlineStr">
        <is>
          <t>R001</t>
        </is>
      </c>
      <c r="B3" s="15" t="inlineStr">
        <is>
          <t>Roads &amp; Footpaths</t>
        </is>
      </c>
      <c r="C3" s="15" t="inlineStr">
        <is>
          <t>Pothole on a local/ward road</t>
        </is>
      </c>
      <c r="D3" s="15" t="inlineStr">
        <is>
          <t>pothole, crater, road hole, damaged asphalt</t>
        </is>
      </c>
      <c r="E3" s="15" t="inlineStr">
        <is>
          <t>Confirm road is maintained by the relevant city corporation, not BDA/PWD/KRDCL/NHAI/BMRCL/private layout</t>
        </is>
      </c>
      <c r="F3" s="16" t="inlineStr">
        <is>
          <t>Relevant GBA City Corporation – Engineering / Road Infrastructure</t>
        </is>
      </c>
      <c r="G3" s="17" t="inlineStr">
        <is>
          <t>Bengaluru Traffic Police (BTP)</t>
        </is>
      </c>
      <c r="H3" s="17" t="inlineStr">
        <is>
          <t>Add BTP only when the defect is causing immediate congestion, lane blockage or crash risk</t>
        </is>
      </c>
      <c r="I3" s="18" t="inlineStr">
        <is>
          <t>Conditional</t>
        </is>
      </c>
      <c r="J3" s="19" t="inlineStr">
        <is>
          <t>Sahaaya / Fix My Street / 1533</t>
        </is>
      </c>
      <c r="K3" s="19" t="inlineStr">
        <is>
          <t>Official scope + conditional co-routing inference</t>
        </is>
      </c>
      <c r="L3" s="17" t="inlineStr">
        <is>
          <t>High</t>
        </is>
      </c>
      <c r="M3" s="17" t="inlineStr">
        <is>
          <t>Unknown road owner or road classification</t>
        </is>
      </c>
      <c r="N3" s="19" t="inlineStr">
        <is>
          <t>S01, S03, S04, S05</t>
        </is>
      </c>
      <c r="O3" s="19" t="inlineStr">
        <is>
          <t>https://www.gba.karnataka.gov.in/
https://sahaaya2.bbmp.gov.in/Grievance/ReviewReport.aspx
https://site.bbmp.gov.in/departmentwebsites/BBMPIT/fms.html
https://site.bbmp.gov.in/departmentwebsites/Eng/about.html</t>
        </is>
      </c>
      <c r="P3" s="17" t="inlineStr">
        <is>
          <t>Create one master complaint; BTP task must not replace the road-repair task.</t>
        </is>
      </c>
    </row>
    <row r="4" ht="82" customHeight="1">
      <c r="A4" s="20" t="inlineStr">
        <is>
          <t>R002</t>
        </is>
      </c>
      <c r="B4" s="20" t="inlineStr">
        <is>
          <t>Roads &amp; Footpaths</t>
        </is>
      </c>
      <c r="C4" s="20" t="inlineStr">
        <is>
          <t>Pothole on arterial or sub-arterial road</t>
        </is>
      </c>
      <c r="D4" s="20" t="inlineStr">
        <is>
          <t>major road pothole, arterial road, main road</t>
        </is>
      </c>
      <c r="E4" s="20" t="inlineStr">
        <is>
          <t>Resolve road hierarchy and maintenance owner</t>
        </is>
      </c>
      <c r="F4" s="21" t="inlineStr">
        <is>
          <t>Relevant GBA City Corporation / GBA – Major Roads</t>
        </is>
      </c>
      <c r="G4" s="21" t="inlineStr">
        <is>
          <t>Bengaluru Traffic Police (BTP)</t>
        </is>
      </c>
      <c r="H4" s="21" t="inlineStr">
        <is>
          <t>Traffic danger, lane closure or severe congestion</t>
        </is>
      </c>
      <c r="I4" s="18" t="inlineStr">
        <is>
          <t>Conditional</t>
        </is>
      </c>
      <c r="J4" s="22" t="inlineStr">
        <is>
          <t>Sahaaya / Fix My Street / 1533</t>
        </is>
      </c>
      <c r="K4" s="22" t="inlineStr">
        <is>
          <t>Official scope + conditional co-routing inference</t>
        </is>
      </c>
      <c r="L4" s="21" t="inlineStr">
        <is>
          <t>High</t>
        </is>
      </c>
      <c r="M4" s="21" t="inlineStr">
        <is>
          <t>Road hierarchy is not available from location</t>
        </is>
      </c>
      <c r="N4" s="22" t="inlineStr">
        <is>
          <t>S03, S04, S06, S26</t>
        </is>
      </c>
      <c r="O4" s="22" t="inlineStr">
        <is>
          <t>https://sahaaya2.bbmp.gov.in/Grievance/ReviewReport.aspx
https://site.bbmp.gov.in/departmentwebsites/BBMPIT/fms.html
https://site.bbmp.gov.in/departmentwebsites/Eng/indexEnglish.html
https://site.bbmp.gov.in/departmentwebsites/Eng/ofc.html</t>
        </is>
      </c>
      <c r="P4" s="21" t="inlineStr"/>
    </row>
    <row r="5" ht="82" customHeight="1">
      <c r="A5" s="15" t="inlineStr">
        <is>
          <t>R003</t>
        </is>
      </c>
      <c r="B5" s="15" t="inlineStr">
        <is>
          <t>Roads &amp; Footpaths</t>
        </is>
      </c>
      <c r="C5" s="15" t="inlineStr">
        <is>
          <t>Broken or uneven road surface</t>
        </is>
      </c>
      <c r="D5" s="15" t="inlineStr">
        <is>
          <t>damaged asphalt, broken concrete, rough road, surface failure</t>
        </is>
      </c>
      <c r="E5" s="15" t="inlineStr">
        <is>
          <t>Confirm road owner</t>
        </is>
      </c>
      <c r="F5" s="16" t="inlineStr">
        <is>
          <t>Relevant GBA City Corporation – Engineering / Road Infrastructure</t>
        </is>
      </c>
      <c r="G5" s="17" t="inlineStr">
        <is>
          <t>Bengaluru Traffic Police (BTP)</t>
        </is>
      </c>
      <c r="H5" s="17" t="inlineStr">
        <is>
          <t>Only when traffic management or immediate hazard control is required</t>
        </is>
      </c>
      <c r="I5" s="18" t="inlineStr">
        <is>
          <t>Conditional</t>
        </is>
      </c>
      <c r="J5" s="19" t="inlineStr">
        <is>
          <t>Sahaaya / 1533</t>
        </is>
      </c>
      <c r="K5" s="19" t="inlineStr">
        <is>
          <t>Official scope + routing inference</t>
        </is>
      </c>
      <c r="L5" s="17" t="inlineStr">
        <is>
          <t>High</t>
        </is>
      </c>
      <c r="M5" s="17" t="inlineStr">
        <is>
          <t>Owner unclear</t>
        </is>
      </c>
      <c r="N5" s="19" t="inlineStr">
        <is>
          <t>S03, S05, S06</t>
        </is>
      </c>
      <c r="O5" s="19" t="inlineStr">
        <is>
          <t>https://sahaaya2.bbmp.gov.in/Grievance/ReviewReport.aspx
https://site.bbmp.gov.in/departmentwebsites/Eng/about.html
https://site.bbmp.gov.in/departmentwebsites/Eng/indexEnglish.html</t>
        </is>
      </c>
      <c r="P5" s="17" t="inlineStr"/>
    </row>
    <row r="6" ht="82" customHeight="1">
      <c r="A6" s="20" t="inlineStr">
        <is>
          <t>R004</t>
        </is>
      </c>
      <c r="B6" s="20" t="inlineStr">
        <is>
          <t>Roads &amp; Footpaths</t>
        </is>
      </c>
      <c r="C6" s="20" t="inlineStr">
        <is>
          <t>Road cave-in or sinkhole</t>
        </is>
      </c>
      <c r="D6" s="20" t="inlineStr">
        <is>
          <t>road collapsed, sinkhole, cave-in, subsidence</t>
        </is>
      </c>
      <c r="E6" s="20" t="inlineStr">
        <is>
          <t>Identify underlying cause and road owner</t>
        </is>
      </c>
      <c r="F6" s="21" t="inlineStr">
        <is>
          <t>Relevant GBA City Corporation – Engineering / Road Infrastructure</t>
        </is>
      </c>
      <c r="G6" s="21" t="inlineStr">
        <is>
          <t>Bangalore Water Supply and Sewerage Board (BWSSB); Bangalore Electricity Supply Company (BESCOM); BTP</t>
        </is>
      </c>
      <c r="H6" s="21" t="inlineStr">
        <is>
          <t>Link BWSSB for water/sewer failure, BESCOM for electrical trench/asset, and BTP for barricading/traffic control</t>
        </is>
      </c>
      <c r="I6" s="23" t="inlineStr">
        <is>
          <t>Yes</t>
        </is>
      </c>
      <c r="J6" s="22" t="inlineStr">
        <is>
          <t>112 for immediate danger; Sahaaya/BWSSB/BESCOM for repair</t>
        </is>
      </c>
      <c r="K6" s="22" t="inlineStr">
        <is>
          <t>Multi-agency inference supported by official scopes</t>
        </is>
      </c>
      <c r="L6" s="21" t="inlineStr">
        <is>
          <t>High</t>
        </is>
      </c>
      <c r="M6" s="21" t="inlineStr">
        <is>
          <t>Cause is unknown or multiple buried utilities may be involved</t>
        </is>
      </c>
      <c r="N6" s="22" t="inlineStr">
        <is>
          <t>S05, S08, S13, S15, S18, S24</t>
        </is>
      </c>
      <c r="O6" s="22" t="inlineStr">
        <is>
          <t>https://site.bbmp.gov.in/departmentwebsites/Eng/about.html
https://site.bbmp.gov.in/departmentwebsites/bbmpit/marcs.html
https://bwssb.karnataka.gov.in/31/About%20BWSSB/en
https://bescom.karnataka.gov.in/301/Contact%20Us/en
https://btp.karnataka.gov.in/tmc/en
https://ksfes.karnataka.gov.in/en</t>
        </is>
      </c>
      <c r="P6" s="21" t="inlineStr"/>
    </row>
    <row r="7" ht="82" customHeight="1">
      <c r="A7" s="15" t="inlineStr">
        <is>
          <t>R005</t>
        </is>
      </c>
      <c r="B7" s="15" t="inlineStr">
        <is>
          <t>Roads &amp; Footpaths</t>
        </is>
      </c>
      <c r="C7" s="15" t="inlineStr">
        <is>
          <t>Damaged median or road divider</t>
        </is>
      </c>
      <c r="D7" s="15" t="inlineStr">
        <is>
          <t>broken median, displaced divider, median gap</t>
        </is>
      </c>
      <c r="E7" s="15" t="inlineStr">
        <is>
          <t>Confirm asset owner and project owner</t>
        </is>
      </c>
      <c r="F7" s="16" t="inlineStr">
        <is>
          <t>Relevant GBA City Corporation – Engineering / Road Infrastructure</t>
        </is>
      </c>
      <c r="G7" s="17" t="inlineStr">
        <is>
          <t>Bengaluru Traffic Police (BTP)</t>
        </is>
      </c>
      <c r="H7" s="17" t="inlineStr">
        <is>
          <t>Add BTP for temporary traffic safety, unauthorized opening or active obstruction</t>
        </is>
      </c>
      <c r="I7" s="18" t="inlineStr">
        <is>
          <t>Conditional</t>
        </is>
      </c>
      <c r="J7" s="19" t="inlineStr">
        <is>
          <t>Sahaaya / BTP complaint</t>
        </is>
      </c>
      <c r="K7" s="19" t="inlineStr">
        <is>
          <t>Official scope + routing inference</t>
        </is>
      </c>
      <c r="L7" s="17" t="inlineStr">
        <is>
          <t>Medium</t>
        </is>
      </c>
      <c r="M7" s="17" t="inlineStr">
        <is>
          <t>Road belongs to PWD/KRDCL/NHAI/BMRCL</t>
        </is>
      </c>
      <c r="N7" s="19" t="inlineStr">
        <is>
          <t>S05, S17, S18, S21, S22, S25</t>
        </is>
      </c>
      <c r="O7" s="19" t="inlineStr">
        <is>
          <t>https://site.bbmp.gov.in/departmentwebsites/Eng/about.html
https://btp.karnataka.gov.in/200/be-aware-be-smart/en
https://btp.karnataka.gov.in/tmc/en
https://kpwd.karnataka.gov.in/feedback/en
https://www.krdcl.in/en/complaint
https://rajmargyatra.nhai.gov.in/</t>
        </is>
      </c>
      <c r="P7" s="17" t="inlineStr"/>
    </row>
    <row r="8" ht="82" customHeight="1">
      <c r="A8" s="20" t="inlineStr">
        <is>
          <t>R006</t>
        </is>
      </c>
      <c r="B8" s="20" t="inlineStr">
        <is>
          <t>Roads &amp; Footpaths</t>
        </is>
      </c>
      <c r="C8" s="20" t="inlineStr">
        <is>
          <t>Damaged or missing lane markings</t>
        </is>
      </c>
      <c r="D8" s="20" t="inlineStr">
        <is>
          <t>faded lane, zebra crossing faded, stop line missing</t>
        </is>
      </c>
      <c r="E8" s="20" t="inlineStr">
        <is>
          <t>Confirm road owner</t>
        </is>
      </c>
      <c r="F8" s="21" t="inlineStr">
        <is>
          <t>Relevant GBA City Corporation – Engineering / Road Infrastructure</t>
        </is>
      </c>
      <c r="G8" s="21" t="inlineStr">
        <is>
          <t>BTP / Traffic Engineer Cell</t>
        </is>
      </c>
      <c r="H8" s="21" t="inlineStr">
        <is>
          <t>BTP/TEC should validate traffic-control requirement and priority</t>
        </is>
      </c>
      <c r="I8" s="20" t="inlineStr">
        <is>
          <t>No</t>
        </is>
      </c>
      <c r="J8" s="22" t="inlineStr">
        <is>
          <t>Sahaaya / BTP complaint</t>
        </is>
      </c>
      <c r="K8" s="22" t="inlineStr">
        <is>
          <t>Official scope + routing inference</t>
        </is>
      </c>
      <c r="L8" s="21" t="inlineStr">
        <is>
          <t>High</t>
        </is>
      </c>
      <c r="M8" s="21" t="inlineStr">
        <is>
          <t>Special corridor or highway</t>
        </is>
      </c>
      <c r="N8" s="22" t="inlineStr">
        <is>
          <t>S03, S05, S17, S18</t>
        </is>
      </c>
      <c r="O8" s="22" t="inlineStr">
        <is>
          <t>https://sahaaya2.bbmp.gov.in/Grievance/ReviewReport.aspx
https://site.bbmp.gov.in/departmentwebsites/Eng/about.html
https://btp.karnataka.gov.in/200/be-aware-be-smart/en
https://btp.karnataka.gov.in/tmc/en</t>
        </is>
      </c>
      <c r="P8" s="21" t="inlineStr"/>
    </row>
    <row r="9" ht="82" customHeight="1">
      <c r="A9" s="15" t="inlineStr">
        <is>
          <t>R007</t>
        </is>
      </c>
      <c r="B9" s="15" t="inlineStr">
        <is>
          <t>Roads &amp; Footpaths</t>
        </is>
      </c>
      <c r="C9" s="15" t="inlineStr">
        <is>
          <t>Damaged footpath or sidewalk</t>
        </is>
      </c>
      <c r="D9" s="15" t="inlineStr">
        <is>
          <t>broken footpath, uneven pavement, pedestrian path damage</t>
        </is>
      </c>
      <c r="E9" s="15" t="inlineStr">
        <is>
          <t>Confirm footpath asset owner</t>
        </is>
      </c>
      <c r="F9" s="16" t="inlineStr">
        <is>
          <t>Relevant GBA City Corporation – Engineering / Road Infrastructure</t>
        </is>
      </c>
      <c r="G9" s="17" t="inlineStr">
        <is>
          <t>Bengaluru Traffic Police (BTP)</t>
        </is>
      </c>
      <c r="H9" s="17" t="inlineStr">
        <is>
          <t>Add BTP when vehicles are parking/riding on the footpath or pedestrians are forced into traffic</t>
        </is>
      </c>
      <c r="I9" s="18" t="inlineStr">
        <is>
          <t>Conditional</t>
        </is>
      </c>
      <c r="J9" s="19" t="inlineStr">
        <is>
          <t>Sahaaya / BTP complaint</t>
        </is>
      </c>
      <c r="K9" s="19" t="inlineStr">
        <is>
          <t>Official scope + routing inference</t>
        </is>
      </c>
      <c r="L9" s="17" t="inlineStr">
        <is>
          <t>High</t>
        </is>
      </c>
      <c r="M9" s="17" t="inlineStr">
        <is>
          <t>Metro/BMTC/private frontage or utility-created damage</t>
        </is>
      </c>
      <c r="N9" s="19" t="inlineStr">
        <is>
          <t>S05, S17, S19, S20</t>
        </is>
      </c>
      <c r="O9" s="19" t="inlineStr">
        <is>
          <t>https://site.bbmp.gov.in/departmentwebsites/Eng/about.html
https://btp.karnataka.gov.in/200/be-aware-be-smart/en
https://english.bmrc.co.in/contact/
https://mybmtc.karnataka.gov.in/10/complaints/en</t>
        </is>
      </c>
      <c r="P9" s="17" t="inlineStr"/>
    </row>
    <row r="10" ht="82" customHeight="1">
      <c r="A10" s="20" t="inlineStr">
        <is>
          <t>R008</t>
        </is>
      </c>
      <c r="B10" s="20" t="inlineStr">
        <is>
          <t>Roads &amp; Footpaths</t>
        </is>
      </c>
      <c r="C10" s="20" t="inlineStr">
        <is>
          <t>Missing or damaged curb</t>
        </is>
      </c>
      <c r="D10" s="20" t="inlineStr">
        <is>
          <t>curb broken, kerb missing, edge unsafe</t>
        </is>
      </c>
      <c r="E10" s="20" t="inlineStr">
        <is>
          <t>Confirm road/footpath owner</t>
        </is>
      </c>
      <c r="F10" s="21" t="inlineStr">
        <is>
          <t>Relevant GBA City Corporation – Engineering / Road Infrastructure</t>
        </is>
      </c>
      <c r="G10" s="21" t="inlineStr">
        <is>
          <t>Bengaluru Traffic Police (BTP)</t>
        </is>
      </c>
      <c r="H10" s="21" t="inlineStr">
        <is>
          <t>Traffic protection is needed immediately</t>
        </is>
      </c>
      <c r="I10" s="18" t="inlineStr">
        <is>
          <t>Conditional</t>
        </is>
      </c>
      <c r="J10" s="22" t="inlineStr">
        <is>
          <t>Sahaaya / 1533</t>
        </is>
      </c>
      <c r="K10" s="22" t="inlineStr">
        <is>
          <t>Municipal engineering scope + inference</t>
        </is>
      </c>
      <c r="L10" s="21" t="inlineStr">
        <is>
          <t>Medium</t>
        </is>
      </c>
      <c r="M10" s="21" t="inlineStr">
        <is>
          <t>Owner unclear</t>
        </is>
      </c>
      <c r="N10" s="22" t="inlineStr">
        <is>
          <t>S05, S06, S18</t>
        </is>
      </c>
      <c r="O10" s="22" t="inlineStr">
        <is>
          <t>https://site.bbmp.gov.in/departmentwebsites/Eng/about.html
https://site.bbmp.gov.in/departmentwebsites/Eng/indexEnglish.html
https://btp.karnataka.gov.in/tmc/en</t>
        </is>
      </c>
      <c r="P10" s="21" t="inlineStr"/>
    </row>
    <row r="11" ht="82" customHeight="1">
      <c r="A11" s="24" t="inlineStr">
        <is>
          <t>R009</t>
        </is>
      </c>
      <c r="B11" s="24" t="inlineStr">
        <is>
          <t>Roads &amp; Footpaths</t>
        </is>
      </c>
      <c r="C11" s="24" t="inlineStr">
        <is>
          <t>Open or abandoned road excavation</t>
        </is>
      </c>
      <c r="D11" s="24" t="inlineStr">
        <is>
          <t>open trench, road dug, no barricade, work abandoned</t>
        </is>
      </c>
      <c r="E11" s="24" t="inlineStr">
        <is>
          <t>Identify permit holder: BWSSB, BESCOM, telecom/OFC, gas, Metro or contractor</t>
        </is>
      </c>
      <c r="F11" s="25" t="inlineStr">
        <is>
          <t>Permit holder / utility owner</t>
        </is>
      </c>
      <c r="G11" s="25" t="inlineStr">
        <is>
          <t>Relevant GBA City Corporation – Engineering / Road Infrastructure; BTP</t>
        </is>
      </c>
      <c r="H11" s="25" t="inlineStr">
        <is>
          <t>City corporation handles permission/restoration oversight; BTP handles active lane obstruction and safety</t>
        </is>
      </c>
      <c r="I11" s="23" t="inlineStr">
        <is>
          <t>Yes</t>
        </is>
      </c>
      <c r="J11" s="26" t="inlineStr">
        <is>
          <t>112 if dangerous; Sahaaya plus utility complaint</t>
        </is>
      </c>
      <c r="K11" s="26" t="inlineStr">
        <is>
          <t>Official multi-agency road-cutting workflow</t>
        </is>
      </c>
      <c r="L11" s="25" t="inlineStr">
        <is>
          <t>High</t>
        </is>
      </c>
      <c r="M11" s="25" t="inlineStr">
        <is>
          <t>Permit holder cannot be identified</t>
        </is>
      </c>
      <c r="N11" s="26" t="inlineStr">
        <is>
          <t>S07, S08, S18, S24</t>
        </is>
      </c>
      <c r="O11" s="26" t="inlineStr">
        <is>
          <t>https://site.bbmp.gov.in/departmentwebsites/Eng/EngDuct.html
https://site.bbmp.gov.in/departmentwebsites/bbmpit/marcs.html
https://btp.karnataka.gov.in/tmc/en
https://ksfes.karnataka.gov.in/en</t>
        </is>
      </c>
      <c r="P11" s="25" t="inlineStr"/>
    </row>
    <row r="12" ht="82" customHeight="1">
      <c r="A12" s="20" t="inlineStr">
        <is>
          <t>R010</t>
        </is>
      </c>
      <c r="B12" s="20" t="inlineStr">
        <is>
          <t>Roads &amp; Footpaths</t>
        </is>
      </c>
      <c r="C12" s="20" t="inlineStr">
        <is>
          <t>Road not restored after BWSSB work</t>
        </is>
      </c>
      <c r="D12" s="20" t="inlineStr">
        <is>
          <t>water pipe work, sewer work, trench not closed</t>
        </is>
      </c>
      <c r="E12" s="20" t="inlineStr">
        <is>
          <t>Confirm work order/permit and whether utility repair is complete</t>
        </is>
      </c>
      <c r="F12" s="21" t="inlineStr">
        <is>
          <t>Bangalore Water Supply and Sewerage Board (BWSSB)</t>
        </is>
      </c>
      <c r="G12" s="21" t="inlineStr">
        <is>
          <t>Relevant GBA City Corporation – Engineering / Road Infrastructure</t>
        </is>
      </c>
      <c r="H12" s="21" t="inlineStr">
        <is>
          <t>Create linked restoration task after BWSSB confirms utility work completion; BTP if lane remains blocked</t>
        </is>
      </c>
      <c r="I12" s="18" t="inlineStr">
        <is>
          <t>Conditional</t>
        </is>
      </c>
      <c r="J12" s="22" t="inlineStr">
        <is>
          <t>BWSSB CRM / Sahaaya</t>
        </is>
      </c>
      <c r="K12" s="22" t="inlineStr">
        <is>
          <t>Official road-cutting coordination workflow</t>
        </is>
      </c>
      <c r="L12" s="21" t="inlineStr">
        <is>
          <t>High</t>
        </is>
      </c>
      <c r="M12" s="21" t="inlineStr">
        <is>
          <t>No work-order/permit reference</t>
        </is>
      </c>
      <c r="N12" s="22" t="inlineStr">
        <is>
          <t>S08, S13, S14</t>
        </is>
      </c>
      <c r="O12" s="22" t="inlineStr">
        <is>
          <t>https://site.bbmp.gov.in/departmentwebsites/bbmpit/marcs.html
https://bwssb.karnataka.gov.in/31/About%20BWSSB/en
https://cms.bwssb.gov.in/module/complain/new_complaint</t>
        </is>
      </c>
      <c r="P12" s="21" t="inlineStr"/>
    </row>
    <row r="13" ht="82" customHeight="1">
      <c r="A13" s="15" t="inlineStr">
        <is>
          <t>R011</t>
        </is>
      </c>
      <c r="B13" s="15" t="inlineStr">
        <is>
          <t>Roads &amp; Footpaths</t>
        </is>
      </c>
      <c r="C13" s="15" t="inlineStr">
        <is>
          <t>Road not restored after BESCOM work</t>
        </is>
      </c>
      <c r="D13" s="15" t="inlineStr">
        <is>
          <t>power cable trench, electrical digging, road not restored</t>
        </is>
      </c>
      <c r="E13" s="15" t="inlineStr">
        <is>
          <t>Confirm BESCOM work/permit</t>
        </is>
      </c>
      <c r="F13" s="16" t="inlineStr">
        <is>
          <t>Bangalore Electricity Supply Company (BESCOM)</t>
        </is>
      </c>
      <c r="G13" s="17" t="inlineStr">
        <is>
          <t>Relevant GBA City Corporation – Engineering / Road Infrastructure</t>
        </is>
      </c>
      <c r="H13" s="17" t="inlineStr">
        <is>
          <t>Create linked road-restoration task; BTP if lane remains unsafe</t>
        </is>
      </c>
      <c r="I13" s="18" t="inlineStr">
        <is>
          <t>Conditional</t>
        </is>
      </c>
      <c r="J13" s="19" t="inlineStr">
        <is>
          <t>BESCOM complaint / Sahaaya</t>
        </is>
      </c>
      <c r="K13" s="19" t="inlineStr">
        <is>
          <t>Official road-cutting coordination workflow</t>
        </is>
      </c>
      <c r="L13" s="17" t="inlineStr">
        <is>
          <t>High</t>
        </is>
      </c>
      <c r="M13" s="17" t="inlineStr">
        <is>
          <t>Utility ownership disputed</t>
        </is>
      </c>
      <c r="N13" s="19" t="inlineStr">
        <is>
          <t>S07, S08, S15</t>
        </is>
      </c>
      <c r="O13" s="19" t="inlineStr">
        <is>
          <t>https://site.bbmp.gov.in/departmentwebsites/Eng/EngDuct.html
https://site.bbmp.gov.in/departmentwebsites/bbmpit/marcs.html
https://bescom.karnataka.gov.in/301/Contact%20Us/en</t>
        </is>
      </c>
      <c r="P13" s="17" t="inlineStr"/>
    </row>
    <row r="14" ht="82" customHeight="1">
      <c r="A14" s="20" t="inlineStr">
        <is>
          <t>R012</t>
        </is>
      </c>
      <c r="B14" s="20" t="inlineStr">
        <is>
          <t>Roads &amp; Footpaths</t>
        </is>
      </c>
      <c r="C14" s="20" t="inlineStr">
        <is>
          <t>Road not restored after telecom/OFC work</t>
        </is>
      </c>
      <c r="D14" s="20" t="inlineStr">
        <is>
          <t>fiber trench, cable digging, telecom road cut</t>
        </is>
      </c>
      <c r="E14" s="20" t="inlineStr">
        <is>
          <t>Identify telecom/OFC permit holder</t>
        </is>
      </c>
      <c r="F14" s="21" t="inlineStr">
        <is>
          <t>Telecom/OFC service provider</t>
        </is>
      </c>
      <c r="G14" s="21" t="inlineStr">
        <is>
          <t>Relevant GBA City Corporation – Engineering / Road Infrastructure / OFC or Duct Cell</t>
        </is>
      </c>
      <c r="H14" s="21" t="inlineStr">
        <is>
          <t>Municipal unit validates permission and restoration; BTP for active obstruction</t>
        </is>
      </c>
      <c r="I14" s="18" t="inlineStr">
        <is>
          <t>Conditional</t>
        </is>
      </c>
      <c r="J14" s="22" t="inlineStr">
        <is>
          <t>Sahaaya / municipal OFC or Duct Cell</t>
        </is>
      </c>
      <c r="K14" s="22" t="inlineStr">
        <is>
          <t>Official road-cutting/OFC scope</t>
        </is>
      </c>
      <c r="L14" s="21" t="inlineStr">
        <is>
          <t>High</t>
        </is>
      </c>
      <c r="M14" s="21" t="inlineStr">
        <is>
          <t>Service provider not identifiable</t>
        </is>
      </c>
      <c r="N14" s="22" t="inlineStr">
        <is>
          <t>S07, S08, S26</t>
        </is>
      </c>
      <c r="O14" s="22" t="inlineStr">
        <is>
          <t>https://site.bbmp.gov.in/departmentwebsites/Eng/EngDuct.html
https://site.bbmp.gov.in/departmentwebsites/bbmpit/marcs.html
https://site.bbmp.gov.in/departmentwebsites/Eng/ofc.html</t>
        </is>
      </c>
      <c r="P14" s="21" t="inlineStr"/>
    </row>
    <row r="15" ht="82" customHeight="1">
      <c r="A15" s="15" t="inlineStr">
        <is>
          <t>R013</t>
        </is>
      </c>
      <c r="B15" s="15" t="inlineStr">
        <is>
          <t>Roads &amp; Footpaths</t>
        </is>
      </c>
      <c r="C15" s="15" t="inlineStr">
        <is>
          <t>Unauthorized road cutting</t>
        </is>
      </c>
      <c r="D15" s="15" t="inlineStr">
        <is>
          <t>illegal digging, no permit, road cut without notice</t>
        </is>
      </c>
      <c r="E15" s="15" t="inlineStr">
        <is>
          <t>Confirm location and permit status</t>
        </is>
      </c>
      <c r="F15" s="16" t="inlineStr">
        <is>
          <t>Relevant GBA City Corporation – Duct/OFC/Engineering</t>
        </is>
      </c>
      <c r="G15" s="17" t="inlineStr">
        <is>
          <t>Utility/service provider; BTP</t>
        </is>
      </c>
      <c r="H15" s="17" t="inlineStr">
        <is>
          <t>Link suspected utility owner; BTP when work obstructs traffic or lacks safety controls</t>
        </is>
      </c>
      <c r="I15" s="18" t="inlineStr">
        <is>
          <t>Conditional</t>
        </is>
      </c>
      <c r="J15" s="19" t="inlineStr">
        <is>
          <t>Sahaaya / 1533 / BTP</t>
        </is>
      </c>
      <c r="K15" s="19" t="inlineStr">
        <is>
          <t>Official road-cutting permission scope</t>
        </is>
      </c>
      <c r="L15" s="17" t="inlineStr">
        <is>
          <t>High</t>
        </is>
      </c>
      <c r="M15" s="17" t="inlineStr">
        <is>
          <t>Permit database unavailable</t>
        </is>
      </c>
      <c r="N15" s="19" t="inlineStr">
        <is>
          <t>S07, S08, S17</t>
        </is>
      </c>
      <c r="O15" s="19" t="inlineStr">
        <is>
          <t>https://site.bbmp.gov.in/departmentwebsites/Eng/EngDuct.html
https://site.bbmp.gov.in/departmentwebsites/bbmpit/marcs.html
https://btp.karnataka.gov.in/200/be-aware-be-smart/en</t>
        </is>
      </c>
      <c r="P15" s="17" t="inlineStr"/>
    </row>
    <row r="16" ht="82" customHeight="1">
      <c r="A16" s="20" t="inlineStr">
        <is>
          <t>R014</t>
        </is>
      </c>
      <c r="B16" s="20" t="inlineStr">
        <is>
          <t>Roads &amp; Footpaths</t>
        </is>
      </c>
      <c r="C16" s="20" t="inlineStr">
        <is>
          <t>Road debris left after civil work</t>
        </is>
      </c>
      <c r="D16" s="20" t="inlineStr">
        <is>
          <t>soil, stones, construction material on road</t>
        </is>
      </c>
      <c r="E16" s="20" t="inlineStr">
        <is>
          <t>Identify project/contractor owner</t>
        </is>
      </c>
      <c r="F16" s="21" t="inlineStr">
        <is>
          <t>Relevant GBA City Corporation – Engineering / Road Infrastructure</t>
        </is>
      </c>
      <c r="G16" s="21" t="inlineStr">
        <is>
          <t>BSWML / Relevant GBA City Corporation – Solid Waste Management; BTP</t>
        </is>
      </c>
      <c r="H16" s="21" t="inlineStr">
        <is>
          <t>SWM for removal if classified as dumped C&amp;D waste; BTP for immediate traffic obstruction</t>
        </is>
      </c>
      <c r="I16" s="18" t="inlineStr">
        <is>
          <t>Conditional</t>
        </is>
      </c>
      <c r="J16" s="22" t="inlineStr">
        <is>
          <t>Sahaaya / 1533</t>
        </is>
      </c>
      <c r="K16" s="22" t="inlineStr">
        <is>
          <t>Municipal engineering + SWM + traffic inference</t>
        </is>
      </c>
      <c r="L16" s="21" t="inlineStr">
        <is>
          <t>High</t>
        </is>
      </c>
      <c r="M16" s="21" t="inlineStr">
        <is>
          <t>Active construction site or private property boundary</t>
        </is>
      </c>
      <c r="N16" s="22" t="inlineStr">
        <is>
          <t>S05, S09, S18</t>
        </is>
      </c>
      <c r="O16" s="22" t="inlineStr">
        <is>
          <t>https://site.bbmp.gov.in/departmentwebsites/Eng/about.html
https://site.bbmp.gov.in/departmentwebsites/swm/
https://btp.karnataka.gov.in/tmc/en</t>
        </is>
      </c>
      <c r="P16" s="21" t="inlineStr"/>
    </row>
    <row r="17" ht="82" customHeight="1">
      <c r="A17" s="15" t="inlineStr">
        <is>
          <t>R015</t>
        </is>
      </c>
      <c r="B17" s="15" t="inlineStr">
        <is>
          <t>Roads &amp; Footpaths</t>
        </is>
      </c>
      <c r="C17" s="15" t="inlineStr">
        <is>
          <t>Damaged speed breaker</t>
        </is>
      </c>
      <c r="D17" s="15" t="inlineStr">
        <is>
          <t>broken hump, unsafe speed breaker, unmarked hump</t>
        </is>
      </c>
      <c r="E17" s="15" t="inlineStr">
        <is>
          <t>Confirm road owner and approval status</t>
        </is>
      </c>
      <c r="F17" s="16" t="inlineStr">
        <is>
          <t>Relevant GBA City Corporation – Engineering / Road Infrastructure</t>
        </is>
      </c>
      <c r="G17" s="17" t="inlineStr">
        <is>
          <t>BTP / Traffic Engineer Cell</t>
        </is>
      </c>
      <c r="H17" s="17" t="inlineStr">
        <is>
          <t>BTP/TEC validates traffic requirement, design and markings</t>
        </is>
      </c>
      <c r="I17" s="27" t="inlineStr">
        <is>
          <t>No</t>
        </is>
      </c>
      <c r="J17" s="19" t="inlineStr">
        <is>
          <t>Sahaaya / BTP complaint</t>
        </is>
      </c>
      <c r="K17" s="19" t="inlineStr">
        <is>
          <t>Official categories + routing inference</t>
        </is>
      </c>
      <c r="L17" s="17" t="inlineStr">
        <is>
          <t>Medium</t>
        </is>
      </c>
      <c r="M17" s="17" t="inlineStr">
        <is>
          <t>Unauthorized speed breaker or highway</t>
        </is>
      </c>
      <c r="N17" s="19" t="inlineStr">
        <is>
          <t>S03, S17, S18</t>
        </is>
      </c>
      <c r="O17" s="19" t="inlineStr">
        <is>
          <t>https://sahaaya2.bbmp.gov.in/Grievance/ReviewReport.aspx
https://btp.karnataka.gov.in/200/be-aware-be-smart/en
https://btp.karnataka.gov.in/tmc/en</t>
        </is>
      </c>
      <c r="P17" s="17" t="inlineStr"/>
    </row>
    <row r="18" ht="82" customHeight="1">
      <c r="A18" s="20" t="inlineStr">
        <is>
          <t>R016</t>
        </is>
      </c>
      <c r="B18" s="20" t="inlineStr">
        <is>
          <t>Roads &amp; Footpaths</t>
        </is>
      </c>
      <c r="C18" s="20" t="inlineStr">
        <is>
          <t>Damaged bridge, flyover or underpass structure</t>
        </is>
      </c>
      <c r="D18" s="20" t="inlineStr">
        <is>
          <t>crack, joint damage, railing broken, flyover damage</t>
        </is>
      </c>
      <c r="E18" s="20" t="inlineStr">
        <is>
          <t>Mandatory asset-owner lookup: city corporation, PWD, KRDCL, NHAI, BMRCL or another project authority</t>
        </is>
      </c>
      <c r="F18" s="21" t="inlineStr">
        <is>
          <t>Resolved infrastructure owner</t>
        </is>
      </c>
      <c r="G18" s="21" t="inlineStr">
        <is>
          <t>Bengaluru Traffic Police (BTP)</t>
        </is>
      </c>
      <c r="H18" s="21" t="inlineStr">
        <is>
          <t>BTP for traffic restriction; Fire/112 for collapse risk</t>
        </is>
      </c>
      <c r="I18" s="23" t="inlineStr">
        <is>
          <t>Yes</t>
        </is>
      </c>
      <c r="J18" s="22" t="inlineStr">
        <is>
          <t>112 for immediate danger; owner complaint channel</t>
        </is>
      </c>
      <c r="K18" s="22" t="inlineStr">
        <is>
          <t>Asset-owner-first routing</t>
        </is>
      </c>
      <c r="L18" s="21" t="inlineStr">
        <is>
          <t>High</t>
        </is>
      </c>
      <c r="M18" s="21" t="inlineStr">
        <is>
          <t>Structural risk or ownership uncertain</t>
        </is>
      </c>
      <c r="N18" s="22" t="inlineStr">
        <is>
          <t>S05, S19, S21, S22, S24, S25</t>
        </is>
      </c>
      <c r="O18" s="22" t="inlineStr">
        <is>
          <t>https://site.bbmp.gov.in/departmentwebsites/Eng/about.html
https://english.bmrc.co.in/contact/
https://kpwd.karnataka.gov.in/feedback/en
https://www.krdcl.in/en/complaint
https://ksfes.karnataka.gov.in/en
https://rajmargyatra.nhai.gov.in/</t>
        </is>
      </c>
      <c r="P18" s="21" t="inlineStr"/>
    </row>
    <row r="19" ht="82" customHeight="1">
      <c r="A19" s="24" t="inlineStr">
        <is>
          <t>R017</t>
        </is>
      </c>
      <c r="B19" s="24" t="inlineStr">
        <is>
          <t>Roads &amp; Footpaths</t>
        </is>
      </c>
      <c r="C19" s="24" t="inlineStr">
        <is>
          <t>Underpass flooding</t>
        </is>
      </c>
      <c r="D19" s="24" t="inlineStr">
        <is>
          <t>underpass filled with water, vehicle stuck</t>
        </is>
      </c>
      <c r="E19" s="24" t="inlineStr">
        <is>
          <t>Resolve drain and underpass owner</t>
        </is>
      </c>
      <c r="F19" s="25" t="inlineStr">
        <is>
          <t>Relevant GBA City Corporation – Storm Water Drain (SWD)</t>
        </is>
      </c>
      <c r="G19" s="25" t="inlineStr">
        <is>
          <t>Relevant GBA City Corporation – Engineering / Road Infrastructure; BTP; BWSSB</t>
        </is>
      </c>
      <c r="H19" s="25" t="inlineStr">
        <is>
          <t>BTP for closure/diversion; BWSSB if sewage or water-main failure contributes</t>
        </is>
      </c>
      <c r="I19" s="23" t="inlineStr">
        <is>
          <t>Yes</t>
        </is>
      </c>
      <c r="J19" s="26" t="inlineStr">
        <is>
          <t>112 if people/vehicles trapped; Sahaaya</t>
        </is>
      </c>
      <c r="K19" s="26" t="inlineStr">
        <is>
          <t>Official scopes + emergency routing inference</t>
        </is>
      </c>
      <c r="L19" s="25" t="inlineStr">
        <is>
          <t>High</t>
        </is>
      </c>
      <c r="M19" s="25" t="inlineStr">
        <is>
          <t>Source of water unclear</t>
        </is>
      </c>
      <c r="N19" s="26" t="inlineStr">
        <is>
          <t>S06, S12, S13, S18, S24</t>
        </is>
      </c>
      <c r="O19" s="26" t="inlineStr">
        <is>
          <t>https://site.bbmp.gov.in/departmentwebsites/Eng/indexEnglish.html
https://site.bbmp.gov.in/encroachment.html
https://bwssb.karnataka.gov.in/31/About%20BWSSB/en
https://btp.karnataka.gov.in/tmc/en
https://ksfes.karnataka.gov.in/en</t>
        </is>
      </c>
      <c r="P19" s="25" t="inlineStr"/>
    </row>
    <row r="20" ht="82" customHeight="1">
      <c r="A20" s="20" t="inlineStr">
        <is>
          <t>R018</t>
        </is>
      </c>
      <c r="B20" s="20" t="inlineStr">
        <is>
          <t>Roads &amp; Footpaths</t>
        </is>
      </c>
      <c r="C20" s="20" t="inlineStr">
        <is>
          <t>Missing or damaged road-name/sign board</t>
        </is>
      </c>
      <c r="D20" s="20" t="inlineStr">
        <is>
          <t>road sign missing, street name board damaged</t>
        </is>
      </c>
      <c r="E20" s="20" t="inlineStr">
        <is>
          <t>Confirm sign owner</t>
        </is>
      </c>
      <c r="F20" s="21" t="inlineStr">
        <is>
          <t>Relevant GBA City Corporation – Engineering / Road Infrastructure</t>
        </is>
      </c>
      <c r="G20" s="21" t="inlineStr">
        <is>
          <t>Bengaluru Traffic Police (BTP)</t>
        </is>
      </c>
      <c r="H20" s="21" t="inlineStr">
        <is>
          <t>Use BTP only for regulatory/traffic sign rather than civic road-name sign</t>
        </is>
      </c>
      <c r="I20" s="20" t="inlineStr">
        <is>
          <t>No</t>
        </is>
      </c>
      <c r="J20" s="22" t="inlineStr">
        <is>
          <t>Sahaaya / BTP complaint</t>
        </is>
      </c>
      <c r="K20" s="22" t="inlineStr">
        <is>
          <t>Ownership distinction inference</t>
        </is>
      </c>
      <c r="L20" s="21" t="inlineStr">
        <is>
          <t>Medium</t>
        </is>
      </c>
      <c r="M20" s="21" t="inlineStr">
        <is>
          <t>Sign type unclear</t>
        </is>
      </c>
      <c r="N20" s="22" t="inlineStr">
        <is>
          <t>S05, S17</t>
        </is>
      </c>
      <c r="O20" s="22" t="inlineStr">
        <is>
          <t>https://site.bbmp.gov.in/departmentwebsites/Eng/about.html
https://btp.karnataka.gov.in/200/be-aware-be-smart/en</t>
        </is>
      </c>
      <c r="P20" s="21" t="inlineStr"/>
    </row>
    <row r="21" ht="82" customHeight="1">
      <c r="A21" s="24" t="inlineStr">
        <is>
          <t>R019</t>
        </is>
      </c>
      <c r="B21" s="24" t="inlineStr">
        <is>
          <t>Roads &amp; Footpaths</t>
        </is>
      </c>
      <c r="C21" s="24" t="inlineStr">
        <is>
          <t>Unsafe barricading at road work</t>
        </is>
      </c>
      <c r="D21" s="24" t="inlineStr">
        <is>
          <t>no reflectors, open trench, weak barricade</t>
        </is>
      </c>
      <c r="E21" s="24" t="inlineStr">
        <is>
          <t>Identify project and permit holder</t>
        </is>
      </c>
      <c r="F21" s="25" t="inlineStr">
        <is>
          <t>Project/utility owner</t>
        </is>
      </c>
      <c r="G21" s="25" t="inlineStr">
        <is>
          <t>BTP; Relevant GBA City Corporation – Engineering / Road Infrastructure</t>
        </is>
      </c>
      <c r="H21" s="25" t="inlineStr">
        <is>
          <t>BTP controls immediate traffic safety; municipal engineering enforces work/road-restoration conditions</t>
        </is>
      </c>
      <c r="I21" s="23" t="inlineStr">
        <is>
          <t>Yes</t>
        </is>
      </c>
      <c r="J21" s="26" t="inlineStr">
        <is>
          <t>112 for immediate danger; BTP/Sahaaya</t>
        </is>
      </c>
      <c r="K21" s="26" t="inlineStr">
        <is>
          <t>Multi-agency safety inference</t>
        </is>
      </c>
      <c r="L21" s="25" t="inlineStr">
        <is>
          <t>High</t>
        </is>
      </c>
      <c r="M21" s="25" t="inlineStr">
        <is>
          <t>Night-time hazard or project owner unknown</t>
        </is>
      </c>
      <c r="N21" s="26" t="inlineStr">
        <is>
          <t>S08, S18, S24</t>
        </is>
      </c>
      <c r="O21" s="26" t="inlineStr">
        <is>
          <t>https://site.bbmp.gov.in/departmentwebsites/bbmpit/marcs.html
https://btp.karnataka.gov.in/tmc/en
https://ksfes.karnataka.gov.in/en</t>
        </is>
      </c>
      <c r="P21" s="25" t="inlineStr"/>
    </row>
    <row r="22" ht="82" customHeight="1">
      <c r="A22" s="20" t="inlineStr">
        <is>
          <t>R020</t>
        </is>
      </c>
      <c r="B22" s="20" t="inlineStr">
        <is>
          <t>Roads &amp; Footpaths</t>
        </is>
      </c>
      <c r="C22" s="20" t="inlineStr">
        <is>
          <t>Road issue inside a BDA layout or BDA-owned asset</t>
        </is>
      </c>
      <c r="D22" s="20" t="inlineStr">
        <is>
          <t>layout road, BDA road, BDA park road</t>
        </is>
      </c>
      <c r="E22" s="20" t="inlineStr">
        <is>
          <t>Verify BDA ownership before routing</t>
        </is>
      </c>
      <c r="F22" s="21" t="inlineStr">
        <is>
          <t>Bengaluru Development Authority (BDA) or transferred municipal owner</t>
        </is>
      </c>
      <c r="G22" s="21" t="inlineStr">
        <is>
          <t>Bengaluru Traffic Police (BTP)</t>
        </is>
      </c>
      <c r="H22" s="21" t="inlineStr">
        <is>
          <t>BTP only for immediate traffic impact</t>
        </is>
      </c>
      <c r="I22" s="18" t="inlineStr">
        <is>
          <t>Conditional</t>
        </is>
      </c>
      <c r="J22" s="22" t="inlineStr">
        <is>
          <t>Owner grievance channel / BTP</t>
        </is>
      </c>
      <c r="K22" s="22" t="inlineStr">
        <is>
          <t>Asset-owner-first routing; public ownership data incomplete</t>
        </is>
      </c>
      <c r="L22" s="21" t="inlineStr">
        <is>
          <t>Medium</t>
        </is>
      </c>
      <c r="M22" s="21" t="inlineStr">
        <is>
          <t>Transfer status between BDA and city corporation unknown</t>
        </is>
      </c>
      <c r="N22" s="22" t="inlineStr">
        <is>
          <t>S11, S17</t>
        </is>
      </c>
      <c r="O22" s="22" t="inlineStr">
        <is>
          <t>https://site.bbmp.gov.in/departmentwebsites/Lakes/Abstract.html
https://btp.karnataka.gov.in/200/be-aware-be-smart/en</t>
        </is>
      </c>
      <c r="P22" s="21" t="inlineStr"/>
    </row>
    <row r="23" ht="82" customHeight="1">
      <c r="A23" s="15" t="inlineStr">
        <is>
          <t>R021</t>
        </is>
      </c>
      <c r="B23" s="15" t="inlineStr">
        <is>
          <t>Roads &amp; Footpaths</t>
        </is>
      </c>
      <c r="C23" s="15" t="inlineStr">
        <is>
          <t>State PWD-owned road issue</t>
        </is>
      </c>
      <c r="D23" s="15" t="inlineStr">
        <is>
          <t>state highway, PWD road, state road bridge</t>
        </is>
      </c>
      <c r="E23" s="15" t="inlineStr">
        <is>
          <t>Verify PWD ownership</t>
        </is>
      </c>
      <c r="F23" s="16" t="inlineStr">
        <is>
          <t>Karnataka Public Works Department (PWD)</t>
        </is>
      </c>
      <c r="G23" s="17" t="inlineStr">
        <is>
          <t>Bengaluru Traffic Police (BTP)</t>
        </is>
      </c>
      <c r="H23" s="17" t="inlineStr">
        <is>
          <t>BTP for immediate traffic management</t>
        </is>
      </c>
      <c r="I23" s="18" t="inlineStr">
        <is>
          <t>Conditional</t>
        </is>
      </c>
      <c r="J23" s="19" t="inlineStr">
        <is>
          <t>PWD feedback / BTP</t>
        </is>
      </c>
      <c r="K23" s="19" t="inlineStr">
        <is>
          <t>Official owner fallback</t>
        </is>
      </c>
      <c r="L23" s="17" t="inlineStr">
        <is>
          <t>High</t>
        </is>
      </c>
      <c r="M23" s="17" t="inlineStr">
        <is>
          <t>Road ownership unresolved</t>
        </is>
      </c>
      <c r="N23" s="19" t="inlineStr">
        <is>
          <t>S21, S18</t>
        </is>
      </c>
      <c r="O23" s="19" t="inlineStr">
        <is>
          <t>https://kpwd.karnataka.gov.in/feedback/en
https://btp.karnataka.gov.in/tmc/en</t>
        </is>
      </c>
      <c r="P23" s="17" t="inlineStr"/>
    </row>
    <row r="24" ht="82" customHeight="1">
      <c r="A24" s="20" t="inlineStr">
        <is>
          <t>R022</t>
        </is>
      </c>
      <c r="B24" s="20" t="inlineStr">
        <is>
          <t>Roads &amp; Footpaths</t>
        </is>
      </c>
      <c r="C24" s="20" t="inlineStr">
        <is>
          <t>KRDCL-owned road or bridge issue</t>
        </is>
      </c>
      <c r="D24" s="20" t="inlineStr">
        <is>
          <t>KRDCL project, toll road, corporation road</t>
        </is>
      </c>
      <c r="E24" s="20" t="inlineStr">
        <is>
          <t>Verify KRDCL project ownership</t>
        </is>
      </c>
      <c r="F24" s="21" t="inlineStr">
        <is>
          <t>Karnataka Road Development Corporation Limited (KRDCL)</t>
        </is>
      </c>
      <c r="G24" s="21" t="inlineStr">
        <is>
          <t>Bengaluru Traffic Police (BTP)</t>
        </is>
      </c>
      <c r="H24" s="21" t="inlineStr">
        <is>
          <t>BTP for immediate traffic management</t>
        </is>
      </c>
      <c r="I24" s="18" t="inlineStr">
        <is>
          <t>Conditional</t>
        </is>
      </c>
      <c r="J24" s="22" t="inlineStr">
        <is>
          <t>KRDCL complaint / BTP</t>
        </is>
      </c>
      <c r="K24" s="22" t="inlineStr">
        <is>
          <t>Official owner fallback</t>
        </is>
      </c>
      <c r="L24" s="21" t="inlineStr">
        <is>
          <t>High</t>
        </is>
      </c>
      <c r="M24" s="21" t="inlineStr">
        <is>
          <t>Project ownership unresolved</t>
        </is>
      </c>
      <c r="N24" s="22" t="inlineStr">
        <is>
          <t>S22, S18</t>
        </is>
      </c>
      <c r="O24" s="22" t="inlineStr">
        <is>
          <t>https://www.krdcl.in/en/complaint
https://btp.karnataka.gov.in/tmc/en</t>
        </is>
      </c>
      <c r="P24" s="21" t="inlineStr"/>
    </row>
    <row r="25" ht="82" customHeight="1">
      <c r="A25" s="15" t="inlineStr">
        <is>
          <t>R023</t>
        </is>
      </c>
      <c r="B25" s="15" t="inlineStr">
        <is>
          <t>Roads &amp; Footpaths</t>
        </is>
      </c>
      <c r="C25" s="15" t="inlineStr">
        <is>
          <t>National Highway road issue</t>
        </is>
      </c>
      <c r="D25" s="15" t="inlineStr">
        <is>
          <t>NH, national highway pothole, toll road issue</t>
        </is>
      </c>
      <c r="E25" s="15" t="inlineStr">
        <is>
          <t>Verify NHAI/NH ownership</t>
        </is>
      </c>
      <c r="F25" s="16" t="inlineStr">
        <is>
          <t>National Highways Authority of India / highway concessionaire</t>
        </is>
      </c>
      <c r="G25" s="17" t="inlineStr">
        <is>
          <t>Bengaluru Traffic Police (BTP)</t>
        </is>
      </c>
      <c r="H25" s="17" t="inlineStr">
        <is>
          <t>BTP for city traffic impact; 1033 for highway assistance</t>
        </is>
      </c>
      <c r="I25" s="18" t="inlineStr">
        <is>
          <t>Conditional</t>
        </is>
      </c>
      <c r="J25" s="19" t="inlineStr">
        <is>
          <t>1033 / RajmargYatra</t>
        </is>
      </c>
      <c r="K25" s="19" t="inlineStr">
        <is>
          <t>Official owner and complaint channel</t>
        </is>
      </c>
      <c r="L25" s="17" t="inlineStr">
        <is>
          <t>High</t>
        </is>
      </c>
      <c r="M25" s="17" t="inlineStr">
        <is>
          <t>NH section operated by another authority</t>
        </is>
      </c>
      <c r="N25" s="19" t="inlineStr">
        <is>
          <t>S25, S18</t>
        </is>
      </c>
      <c r="O25" s="19" t="inlineStr">
        <is>
          <t>https://rajmargyatra.nhai.gov.in/
https://btp.karnataka.gov.in/tmc/en</t>
        </is>
      </c>
      <c r="P25" s="17" t="inlineStr"/>
    </row>
    <row r="26" ht="82" customHeight="1">
      <c r="A26" s="20" t="inlineStr">
        <is>
          <t>R024</t>
        </is>
      </c>
      <c r="B26" s="20" t="inlineStr">
        <is>
          <t>Traffic &amp; Parking</t>
        </is>
      </c>
      <c r="C26" s="20" t="inlineStr">
        <is>
          <t>Illegal or obstructive parking</t>
        </is>
      </c>
      <c r="D26" s="20" t="inlineStr">
        <is>
          <t>wrong parking, no-parking, vehicle blocking road</t>
        </is>
      </c>
      <c r="E26" s="20" t="inlineStr">
        <is>
          <t>No municipal asset-owner check required unless parking facility itself is disputed</t>
        </is>
      </c>
      <c r="F26" s="21" t="inlineStr">
        <is>
          <t>Bengaluru Traffic Police (BTP)</t>
        </is>
      </c>
      <c r="G26" s="21" t="inlineStr">
        <is>
          <t>Relevant GBA City Corporation – Engineering/Estate</t>
        </is>
      </c>
      <c r="H26" s="21" t="inlineStr">
        <is>
          <t>Municipal task only when obstruction is caused by fixed civic design, encroachment or a municipal parking asset</t>
        </is>
      </c>
      <c r="I26" s="20" t="inlineStr">
        <is>
          <t>No</t>
        </is>
      </c>
      <c r="J26" s="22" t="inlineStr">
        <is>
          <t>BTP ASTraM / BTP website / 112 for urgent obstruction</t>
        </is>
      </c>
      <c r="K26" s="22" t="inlineStr">
        <is>
          <t>Direct official BTP scope</t>
        </is>
      </c>
      <c r="L26" s="21" t="inlineStr">
        <is>
          <t>High</t>
        </is>
      </c>
      <c r="M26" s="21" t="inlineStr">
        <is>
          <t>Private parking dispute</t>
        </is>
      </c>
      <c r="N26" s="22" t="inlineStr">
        <is>
          <t>S17, S18</t>
        </is>
      </c>
      <c r="O26" s="22" t="inlineStr">
        <is>
          <t>https://btp.karnataka.gov.in/200/be-aware-be-smart/en
https://btp.karnataka.gov.in/tmc/en</t>
        </is>
      </c>
      <c r="P26" s="21" t="inlineStr"/>
    </row>
    <row r="27" ht="82" customHeight="1">
      <c r="A27" s="15" t="inlineStr">
        <is>
          <t>R025</t>
        </is>
      </c>
      <c r="B27" s="15" t="inlineStr">
        <is>
          <t>Traffic &amp; Parking</t>
        </is>
      </c>
      <c r="C27" s="15" t="inlineStr">
        <is>
          <t>Vehicle parked on footpath</t>
        </is>
      </c>
      <c r="D27" s="15" t="inlineStr">
        <is>
          <t>footpath parking, pedestrian path blocked</t>
        </is>
      </c>
      <c r="E27" s="15" t="inlineStr">
        <is>
          <t>Confirm public footpath</t>
        </is>
      </c>
      <c r="F27" s="16" t="inlineStr">
        <is>
          <t>Bengaluru Traffic Police (BTP)</t>
        </is>
      </c>
      <c r="G27" s="17" t="inlineStr">
        <is>
          <t>Relevant GBA City Corporation – Engineering / Road Infrastructure</t>
        </is>
      </c>
      <c r="H27" s="17" t="inlineStr">
        <is>
          <t>Municipal engineering only if physical bollards/footpath repair are required</t>
        </is>
      </c>
      <c r="I27" s="27" t="inlineStr">
        <is>
          <t>No</t>
        </is>
      </c>
      <c r="J27" s="19" t="inlineStr">
        <is>
          <t>BTP complaint / ASTraM</t>
        </is>
      </c>
      <c r="K27" s="19" t="inlineStr">
        <is>
          <t>Direct official BTP scope + municipal follow-up</t>
        </is>
      </c>
      <c r="L27" s="17" t="inlineStr">
        <is>
          <t>High</t>
        </is>
      </c>
      <c r="M27" s="17" t="inlineStr">
        <is>
          <t>Footpath ownership unclear</t>
        </is>
      </c>
      <c r="N27" s="19" t="inlineStr">
        <is>
          <t>S17, S05</t>
        </is>
      </c>
      <c r="O27" s="19" t="inlineStr">
        <is>
          <t>https://btp.karnataka.gov.in/200/be-aware-be-smart/en
https://site.bbmp.gov.in/departmentwebsites/Eng/about.html</t>
        </is>
      </c>
      <c r="P27" s="17" t="inlineStr"/>
    </row>
    <row r="28" ht="82" customHeight="1">
      <c r="A28" s="20" t="inlineStr">
        <is>
          <t>R026</t>
        </is>
      </c>
      <c r="B28" s="20" t="inlineStr">
        <is>
          <t>Traffic &amp; Parking</t>
        </is>
      </c>
      <c r="C28" s="20" t="inlineStr">
        <is>
          <t>Wrong-way or no-entry violation</t>
        </is>
      </c>
      <c r="D28" s="20" t="inlineStr">
        <is>
          <t>wrong side, no entry, one way violation</t>
        </is>
      </c>
      <c r="E28" s="20" t="inlineStr">
        <is>
          <t>None</t>
        </is>
      </c>
      <c r="F28" s="21" t="inlineStr">
        <is>
          <t>Bengaluru Traffic Police (BTP)</t>
        </is>
      </c>
      <c r="G28" s="21" t="inlineStr">
        <is>
          <t>None</t>
        </is>
      </c>
      <c r="H28" s="21" t="inlineStr">
        <is>
          <t>Single-department enforcement issue</t>
        </is>
      </c>
      <c r="I28" s="20" t="inlineStr">
        <is>
          <t>No</t>
        </is>
      </c>
      <c r="J28" s="22" t="inlineStr">
        <is>
          <t>BTP ASTraM / report violation</t>
        </is>
      </c>
      <c r="K28" s="22" t="inlineStr">
        <is>
          <t>Direct official BTP scope</t>
        </is>
      </c>
      <c r="L28" s="21" t="inlineStr">
        <is>
          <t>High</t>
        </is>
      </c>
      <c r="M28" s="21" t="inlineStr">
        <is>
          <t>None</t>
        </is>
      </c>
      <c r="N28" s="22" t="inlineStr">
        <is>
          <t>S17</t>
        </is>
      </c>
      <c r="O28" s="22" t="inlineStr">
        <is>
          <t>https://btp.karnataka.gov.in/200/be-aware-be-smart/en</t>
        </is>
      </c>
      <c r="P28" s="21" t="inlineStr"/>
    </row>
    <row r="29" ht="82" customHeight="1">
      <c r="A29" s="15" t="inlineStr">
        <is>
          <t>R027</t>
        </is>
      </c>
      <c r="B29" s="15" t="inlineStr">
        <is>
          <t>Traffic &amp; Parking</t>
        </is>
      </c>
      <c r="C29" s="15" t="inlineStr">
        <is>
          <t>Traffic congestion</t>
        </is>
      </c>
      <c r="D29" s="15" t="inlineStr">
        <is>
          <t>traffic jam, gridlock, queue, bottleneck</t>
        </is>
      </c>
      <c r="E29" s="15" t="inlineStr">
        <is>
          <t>Identify whether cause is incident, signal, road defect, construction or event</t>
        </is>
      </c>
      <c r="F29" s="16" t="inlineStr">
        <is>
          <t>Bengaluru Traffic Police (BTP)</t>
        </is>
      </c>
      <c r="G29" s="17" t="inlineStr">
        <is>
          <t>Cause owner: GBA Road/SWD, BWSSB, BESCOM, BMRCL, BMTC or contractor</t>
        </is>
      </c>
      <c r="H29" s="17" t="inlineStr">
        <is>
          <t>Create a linked infrastructure task only after cause is identified</t>
        </is>
      </c>
      <c r="I29" s="18" t="inlineStr">
        <is>
          <t>Conditional</t>
        </is>
      </c>
      <c r="J29" s="19" t="inlineStr">
        <is>
          <t>BTP / 112 for emergency</t>
        </is>
      </c>
      <c r="K29" s="19" t="inlineStr">
        <is>
          <t>Direct BTP scope + cause-based co-routing</t>
        </is>
      </c>
      <c r="L29" s="17" t="inlineStr">
        <is>
          <t>High</t>
        </is>
      </c>
      <c r="M29" s="17" t="inlineStr">
        <is>
          <t>Cause not visible from complaint</t>
        </is>
      </c>
      <c r="N29" s="19" t="inlineStr">
        <is>
          <t>S18</t>
        </is>
      </c>
      <c r="O29" s="19" t="inlineStr">
        <is>
          <t>https://btp.karnataka.gov.in/tmc/en</t>
        </is>
      </c>
      <c r="P29" s="17" t="inlineStr"/>
    </row>
    <row r="30" ht="82" customHeight="1">
      <c r="A30" s="20" t="inlineStr">
        <is>
          <t>R028</t>
        </is>
      </c>
      <c r="B30" s="20" t="inlineStr">
        <is>
          <t>Traffic &amp; Parking</t>
        </is>
      </c>
      <c r="C30" s="20" t="inlineStr">
        <is>
          <t>Accident blocking traffic</t>
        </is>
      </c>
      <c r="D30" s="20" t="inlineStr">
        <is>
          <t>crash, collision, road accident, vehicles blocking</t>
        </is>
      </c>
      <c r="E30" s="20" t="inlineStr">
        <is>
          <t>None</t>
        </is>
      </c>
      <c r="F30" s="21" t="inlineStr">
        <is>
          <t>Bengaluru Traffic Police (BTP)</t>
        </is>
      </c>
      <c r="G30" s="21" t="inlineStr">
        <is>
          <t>112 / Fire and Emergency Services; road-asset owner</t>
        </is>
      </c>
      <c r="H30" s="21" t="inlineStr">
        <is>
          <t>Fire/112 for rescue; infrastructure owner for damaged road furniture</t>
        </is>
      </c>
      <c r="I30" s="23" t="inlineStr">
        <is>
          <t>Yes</t>
        </is>
      </c>
      <c r="J30" s="22" t="inlineStr">
        <is>
          <t>112</t>
        </is>
      </c>
      <c r="K30" s="22" t="inlineStr">
        <is>
          <t>Direct emergency and traffic scope</t>
        </is>
      </c>
      <c r="L30" s="21" t="inlineStr">
        <is>
          <t>High</t>
        </is>
      </c>
      <c r="M30" s="21" t="inlineStr">
        <is>
          <t>Injury severity unknown</t>
        </is>
      </c>
      <c r="N30" s="22" t="inlineStr">
        <is>
          <t>S18, S24</t>
        </is>
      </c>
      <c r="O30" s="22" t="inlineStr">
        <is>
          <t>https://btp.karnataka.gov.in/tmc/en
https://ksfes.karnataka.gov.in/en</t>
        </is>
      </c>
      <c r="P30" s="21" t="inlineStr"/>
    </row>
    <row r="31" ht="82" customHeight="1">
      <c r="A31" s="15" t="inlineStr">
        <is>
          <t>R029</t>
        </is>
      </c>
      <c r="B31" s="15" t="inlineStr">
        <is>
          <t>Traffic &amp; Parking</t>
        </is>
      </c>
      <c r="C31" s="15" t="inlineStr">
        <is>
          <t>Vehicle breakdown causing obstruction</t>
        </is>
      </c>
      <c r="D31" s="15" t="inlineStr">
        <is>
          <t>vehicle stalled, breakdown, blocked lane</t>
        </is>
      </c>
      <c r="E31" s="15" t="inlineStr">
        <is>
          <t>None</t>
        </is>
      </c>
      <c r="F31" s="16" t="inlineStr">
        <is>
          <t>Bengaluru Traffic Police (BTP)</t>
        </is>
      </c>
      <c r="G31" s="17" t="inlineStr">
        <is>
          <t>112 / towing support as applicable</t>
        </is>
      </c>
      <c r="H31" s="17" t="inlineStr">
        <is>
          <t>Urgent if on high-speed road or creating crash risk</t>
        </is>
      </c>
      <c r="I31" s="18" t="inlineStr">
        <is>
          <t>Conditional</t>
        </is>
      </c>
      <c r="J31" s="19" t="inlineStr">
        <is>
          <t>112 / BTP</t>
        </is>
      </c>
      <c r="K31" s="19" t="inlineStr">
        <is>
          <t>Direct BTP TMC scope</t>
        </is>
      </c>
      <c r="L31" s="17" t="inlineStr">
        <is>
          <t>High</t>
        </is>
      </c>
      <c r="M31" s="17" t="inlineStr">
        <is>
          <t>Hazardous load or fire</t>
        </is>
      </c>
      <c r="N31" s="19" t="inlineStr">
        <is>
          <t>S18, S24</t>
        </is>
      </c>
      <c r="O31" s="19" t="inlineStr">
        <is>
          <t>https://btp.karnataka.gov.in/tmc/en
https://ksfes.karnataka.gov.in/en</t>
        </is>
      </c>
      <c r="P31" s="17" t="inlineStr"/>
    </row>
    <row r="32" ht="82" customHeight="1">
      <c r="A32" s="20" t="inlineStr">
        <is>
          <t>R030</t>
        </is>
      </c>
      <c r="B32" s="20" t="inlineStr">
        <is>
          <t>Traffic &amp; Parking</t>
        </is>
      </c>
      <c r="C32" s="20" t="inlineStr">
        <is>
          <t>Traffic signal not working</t>
        </is>
      </c>
      <c r="D32" s="20" t="inlineStr">
        <is>
          <t>signal off, red light not working, all lights dark</t>
        </is>
      </c>
      <c r="E32" s="20" t="inlineStr">
        <is>
          <t>Confirm signal belongs to BTP/traffic system</t>
        </is>
      </c>
      <c r="F32" s="21" t="inlineStr">
        <is>
          <t>Bengaluru Traffic Police (BTP)</t>
        </is>
      </c>
      <c r="G32" s="21" t="inlineStr">
        <is>
          <t>Bangalore Electricity Supply Company (BESCOM)</t>
        </is>
      </c>
      <c r="H32" s="21" t="inlineStr">
        <is>
          <t>BESCOM task only when failure is due to external electricity supply rather than signal equipment</t>
        </is>
      </c>
      <c r="I32" s="23" t="inlineStr">
        <is>
          <t>Yes</t>
        </is>
      </c>
      <c r="J32" s="22" t="inlineStr">
        <is>
          <t>BTP / 112 for dangerous junction</t>
        </is>
      </c>
      <c r="K32" s="22" t="inlineStr">
        <is>
          <t>Direct BTP signal/TMC scope + supply inference</t>
        </is>
      </c>
      <c r="L32" s="21" t="inlineStr">
        <is>
          <t>High</t>
        </is>
      </c>
      <c r="M32" s="21" t="inlineStr">
        <is>
          <t>Cause of failure unknown</t>
        </is>
      </c>
      <c r="N32" s="22" t="inlineStr">
        <is>
          <t>S18, S15</t>
        </is>
      </c>
      <c r="O32" s="22" t="inlineStr">
        <is>
          <t>https://btp.karnataka.gov.in/tmc/en
https://bescom.karnataka.gov.in/301/Contact%20Us/en</t>
        </is>
      </c>
      <c r="P32" s="21" t="inlineStr"/>
    </row>
    <row r="33" ht="82" customHeight="1">
      <c r="A33" s="15" t="inlineStr">
        <is>
          <t>R031</t>
        </is>
      </c>
      <c r="B33" s="15" t="inlineStr">
        <is>
          <t>Traffic &amp; Parking</t>
        </is>
      </c>
      <c r="C33" s="15" t="inlineStr">
        <is>
          <t>Poor traffic-signal timing</t>
        </is>
      </c>
      <c r="D33" s="15" t="inlineStr">
        <is>
          <t>short green, long red, bad synchronization</t>
        </is>
      </c>
      <c r="E33" s="15" t="inlineStr">
        <is>
          <t>Confirm junction/signal controller</t>
        </is>
      </c>
      <c r="F33" s="16" t="inlineStr">
        <is>
          <t>Bengaluru Traffic Police (BTP)</t>
        </is>
      </c>
      <c r="G33" s="17" t="inlineStr">
        <is>
          <t>Traffic Engineer Cell / road project owner</t>
        </is>
      </c>
      <c r="H33" s="17" t="inlineStr">
        <is>
          <t>TEC/civil task if junction geometry or road design contributes</t>
        </is>
      </c>
      <c r="I33" s="27" t="inlineStr">
        <is>
          <t>No</t>
        </is>
      </c>
      <c r="J33" s="19" t="inlineStr">
        <is>
          <t>BTP complaint</t>
        </is>
      </c>
      <c r="K33" s="19" t="inlineStr">
        <is>
          <t>Direct BTP traffic-management scope</t>
        </is>
      </c>
      <c r="L33" s="17" t="inlineStr">
        <is>
          <t>High</t>
        </is>
      </c>
      <c r="M33" s="17" t="inlineStr">
        <is>
          <t>Signal is controlled by project authority</t>
        </is>
      </c>
      <c r="N33" s="19" t="inlineStr">
        <is>
          <t>S18, S03</t>
        </is>
      </c>
      <c r="O33" s="19" t="inlineStr">
        <is>
          <t>https://btp.karnataka.gov.in/tmc/en
https://sahaaya2.bbmp.gov.in/Grievance/ReviewReport.aspx</t>
        </is>
      </c>
      <c r="P33" s="17" t="inlineStr"/>
    </row>
    <row r="34" ht="82" customHeight="1">
      <c r="A34" s="20" t="inlineStr">
        <is>
          <t>R032</t>
        </is>
      </c>
      <c r="B34" s="20" t="inlineStr">
        <is>
          <t>Traffic &amp; Parking</t>
        </is>
      </c>
      <c r="C34" s="20" t="inlineStr">
        <is>
          <t>Damaged traffic-signal pole or cabinet</t>
        </is>
      </c>
      <c r="D34" s="20" t="inlineStr">
        <is>
          <t>signal pole hit, controller box broken</t>
        </is>
      </c>
      <c r="E34" s="20" t="inlineStr">
        <is>
          <t>Confirm signal asset owner</t>
        </is>
      </c>
      <c r="F34" s="21" t="inlineStr">
        <is>
          <t>Bengaluru Traffic Police (BTP)</t>
        </is>
      </c>
      <c r="G34" s="21" t="inlineStr">
        <is>
          <t>Bangalore Electricity Supply Company (BESCOM)</t>
        </is>
      </c>
      <c r="H34" s="21" t="inlineStr">
        <is>
          <t>BESCOM only for live electrical danger or external supply</t>
        </is>
      </c>
      <c r="I34" s="23" t="inlineStr">
        <is>
          <t>Yes</t>
        </is>
      </c>
      <c r="J34" s="22" t="inlineStr">
        <is>
          <t>112 if live wire; BTP complaint</t>
        </is>
      </c>
      <c r="K34" s="22" t="inlineStr">
        <is>
          <t>Traffic asset + electrical safety inference</t>
        </is>
      </c>
      <c r="L34" s="21" t="inlineStr">
        <is>
          <t>High</t>
        </is>
      </c>
      <c r="M34" s="21" t="inlineStr">
        <is>
          <t>Live wire reported</t>
        </is>
      </c>
      <c r="N34" s="22" t="inlineStr">
        <is>
          <t>S18, S15, S24</t>
        </is>
      </c>
      <c r="O34" s="22" t="inlineStr">
        <is>
          <t>https://btp.karnataka.gov.in/tmc/en
https://bescom.karnataka.gov.in/301/Contact%20Us/en
https://ksfes.karnataka.gov.in/en</t>
        </is>
      </c>
      <c r="P34" s="21" t="inlineStr"/>
    </row>
    <row r="35" ht="82" customHeight="1">
      <c r="A35" s="15" t="inlineStr">
        <is>
          <t>R033</t>
        </is>
      </c>
      <c r="B35" s="15" t="inlineStr">
        <is>
          <t>Traffic &amp; Parking</t>
        </is>
      </c>
      <c r="C35" s="15" t="inlineStr">
        <is>
          <t>Missing or damaged regulatory traffic sign</t>
        </is>
      </c>
      <c r="D35" s="15" t="inlineStr">
        <is>
          <t>stop sign, no-entry sign, speed sign missing</t>
        </is>
      </c>
      <c r="E35" s="15" t="inlineStr">
        <is>
          <t>Confirm traffic sign vs civic street-name sign</t>
        </is>
      </c>
      <c r="F35" s="16" t="inlineStr">
        <is>
          <t>Bengaluru Traffic Police (BTP)</t>
        </is>
      </c>
      <c r="G35" s="17" t="inlineStr">
        <is>
          <t>Relevant GBA City Corporation – Engineering / Road Infrastructure</t>
        </is>
      </c>
      <c r="H35" s="17" t="inlineStr">
        <is>
          <t>Municipal engineering if civil mounting/base or non-regulatory sign is involved</t>
        </is>
      </c>
      <c r="I35" s="27" t="inlineStr">
        <is>
          <t>No</t>
        </is>
      </c>
      <c r="J35" s="19" t="inlineStr">
        <is>
          <t>BTP complaint / Sahaaya</t>
        </is>
      </c>
      <c r="K35" s="19" t="inlineStr">
        <is>
          <t>BTP enforcement + civic asset inference</t>
        </is>
      </c>
      <c r="L35" s="17" t="inlineStr">
        <is>
          <t>Medium</t>
        </is>
      </c>
      <c r="M35" s="17" t="inlineStr">
        <is>
          <t>Sign ownership unclear</t>
        </is>
      </c>
      <c r="N35" s="19" t="inlineStr">
        <is>
          <t>S17, S05</t>
        </is>
      </c>
      <c r="O35" s="19" t="inlineStr">
        <is>
          <t>https://btp.karnataka.gov.in/200/be-aware-be-smart/en
https://site.bbmp.gov.in/departmentwebsites/Eng/about.html</t>
        </is>
      </c>
      <c r="P35" s="17" t="inlineStr"/>
    </row>
    <row r="36" ht="82" customHeight="1">
      <c r="A36" s="20" t="inlineStr">
        <is>
          <t>R034</t>
        </is>
      </c>
      <c r="B36" s="20" t="inlineStr">
        <is>
          <t>Traffic &amp; Parking</t>
        </is>
      </c>
      <c r="C36" s="20" t="inlineStr">
        <is>
          <t>Auto or cab refusal</t>
        </is>
      </c>
      <c r="D36" s="20" t="inlineStr">
        <is>
          <t>auto refused, short distance refusal</t>
        </is>
      </c>
      <c r="E36" s="20" t="inlineStr">
        <is>
          <t>None</t>
        </is>
      </c>
      <c r="F36" s="21" t="inlineStr">
        <is>
          <t>Bengaluru Traffic Police (BTP)</t>
        </is>
      </c>
      <c r="G36" s="21" t="inlineStr">
        <is>
          <t>None</t>
        </is>
      </c>
      <c r="H36" s="21" t="inlineStr">
        <is>
          <t>Single-department complaint</t>
        </is>
      </c>
      <c r="I36" s="20" t="inlineStr">
        <is>
          <t>No</t>
        </is>
      </c>
      <c r="J36" s="22" t="inlineStr">
        <is>
          <t>BTP complaint channels</t>
        </is>
      </c>
      <c r="K36" s="22" t="inlineStr">
        <is>
          <t>Direct official BTP scope</t>
        </is>
      </c>
      <c r="L36" s="21" t="inlineStr">
        <is>
          <t>High</t>
        </is>
      </c>
      <c r="M36" s="21" t="inlineStr">
        <is>
          <t>Aggregator cab contractual dispute may also require provider complaint</t>
        </is>
      </c>
      <c r="N36" s="22" t="inlineStr">
        <is>
          <t>S17</t>
        </is>
      </c>
      <c r="O36" s="22" t="inlineStr">
        <is>
          <t>https://btp.karnataka.gov.in/200/be-aware-be-smart/en</t>
        </is>
      </c>
      <c r="P36" s="21" t="inlineStr"/>
    </row>
    <row r="37" ht="82" customHeight="1">
      <c r="A37" s="15" t="inlineStr">
        <is>
          <t>R035</t>
        </is>
      </c>
      <c r="B37" s="15" t="inlineStr">
        <is>
          <t>Traffic &amp; Parking</t>
        </is>
      </c>
      <c r="C37" s="15" t="inlineStr">
        <is>
          <t>Auto/cab excess fare, faulty meter or longer route</t>
        </is>
      </c>
      <c r="D37" s="15" t="inlineStr">
        <is>
          <t>overcharge, meter not used, long route, harassment</t>
        </is>
      </c>
      <c r="E37" s="15" t="inlineStr">
        <is>
          <t>None</t>
        </is>
      </c>
      <c r="F37" s="16" t="inlineStr">
        <is>
          <t>Bengaluru Traffic Police (BTP)</t>
        </is>
      </c>
      <c r="G37" s="17" t="inlineStr">
        <is>
          <t>Police/112</t>
        </is>
      </c>
      <c r="H37" s="17" t="inlineStr">
        <is>
          <t>Use 112 when there is immediate harassment, threat or safety risk</t>
        </is>
      </c>
      <c r="I37" s="18" t="inlineStr">
        <is>
          <t>Conditional</t>
        </is>
      </c>
      <c r="J37" s="19" t="inlineStr">
        <is>
          <t>BTP complaint channels / 112</t>
        </is>
      </c>
      <c r="K37" s="19" t="inlineStr">
        <is>
          <t>Direct official BTP scope</t>
        </is>
      </c>
      <c r="L37" s="17" t="inlineStr">
        <is>
          <t>High</t>
        </is>
      </c>
      <c r="M37" s="17" t="inlineStr">
        <is>
          <t>Criminal/safety allegation</t>
        </is>
      </c>
      <c r="N37" s="19" t="inlineStr">
        <is>
          <t>S17</t>
        </is>
      </c>
      <c r="O37" s="19" t="inlineStr">
        <is>
          <t>https://btp.karnataka.gov.in/200/be-aware-be-smart/en</t>
        </is>
      </c>
      <c r="P37" s="17" t="inlineStr"/>
    </row>
    <row r="38" ht="82" customHeight="1">
      <c r="A38" s="20" t="inlineStr">
        <is>
          <t>R036</t>
        </is>
      </c>
      <c r="B38" s="20" t="inlineStr">
        <is>
          <t>Traffic &amp; Parking</t>
        </is>
      </c>
      <c r="C38" s="20" t="inlineStr">
        <is>
          <t>Bus obstructing traffic or unsafe stopping</t>
        </is>
      </c>
      <c r="D38" s="20" t="inlineStr">
        <is>
          <t>bus blocking lane, bus stopped away from stop</t>
        </is>
      </c>
      <c r="E38" s="20" t="inlineStr">
        <is>
          <t>Identify operator and vehicle</t>
        </is>
      </c>
      <c r="F38" s="21" t="inlineStr">
        <is>
          <t>Bengaluru Traffic Police (BTP)</t>
        </is>
      </c>
      <c r="G38" s="21" t="inlineStr">
        <is>
          <t>Bengaluru Metropolitan Transport Corporation (BMTC)</t>
        </is>
      </c>
      <c r="H38" s="21" t="inlineStr">
        <is>
          <t>BMTC handles driver/service conduct; BTP handles traffic violation/obstruction</t>
        </is>
      </c>
      <c r="I38" s="20" t="inlineStr">
        <is>
          <t>No</t>
        </is>
      </c>
      <c r="J38" s="22" t="inlineStr">
        <is>
          <t>BTP + BMTC complaint</t>
        </is>
      </c>
      <c r="K38" s="22" t="inlineStr">
        <is>
          <t>Dual official scopes</t>
        </is>
      </c>
      <c r="L38" s="21" t="inlineStr">
        <is>
          <t>High</t>
        </is>
      </c>
      <c r="M38" s="21" t="inlineStr">
        <is>
          <t>Private bus rather than BMTC</t>
        </is>
      </c>
      <c r="N38" s="22" t="inlineStr">
        <is>
          <t>S17, S20</t>
        </is>
      </c>
      <c r="O38" s="22" t="inlineStr">
        <is>
          <t>https://btp.karnataka.gov.in/200/be-aware-be-smart/en
https://mybmtc.karnataka.gov.in/10/complaints/en</t>
        </is>
      </c>
      <c r="P38" s="21" t="inlineStr"/>
    </row>
    <row r="39" ht="82" customHeight="1">
      <c r="A39" s="15" t="inlineStr">
        <is>
          <t>R037</t>
        </is>
      </c>
      <c r="B39" s="15" t="inlineStr">
        <is>
          <t>Traffic &amp; Parking</t>
        </is>
      </c>
      <c r="C39" s="15" t="inlineStr">
        <is>
          <t>Roadside encroachment causing traffic obstruction</t>
        </is>
      </c>
      <c r="D39" s="15" t="inlineStr">
        <is>
          <t>shop extension, vendor blocking road, materials on carriageway</t>
        </is>
      </c>
      <c r="E39" s="15" t="inlineStr">
        <is>
          <t>Resolve land/road owner</t>
        </is>
      </c>
      <c r="F39" s="16" t="inlineStr">
        <is>
          <t>Bengaluru Traffic Police (BTP)</t>
        </is>
      </c>
      <c r="G39" s="17" t="inlineStr">
        <is>
          <t>Relevant GBA City Corporation – Estate / Engineering / Markets</t>
        </is>
      </c>
      <c r="H39" s="17" t="inlineStr">
        <is>
          <t>Municipal unit handles encroachment/removal; BTP manages traffic and violations</t>
        </is>
      </c>
      <c r="I39" s="18" t="inlineStr">
        <is>
          <t>Conditional</t>
        </is>
      </c>
      <c r="J39" s="19" t="inlineStr">
        <is>
          <t>Sahaaya + BTP</t>
        </is>
      </c>
      <c r="K39" s="19" t="inlineStr">
        <is>
          <t>Municipal category + traffic inference</t>
        </is>
      </c>
      <c r="L39" s="17" t="inlineStr">
        <is>
          <t>High</t>
        </is>
      </c>
      <c r="M39" s="17" t="inlineStr">
        <is>
          <t>Legal title/authorized vending status</t>
        </is>
      </c>
      <c r="N39" s="19" t="inlineStr">
        <is>
          <t>S03, S17, S18</t>
        </is>
      </c>
      <c r="O39" s="19" t="inlineStr">
        <is>
          <t>https://sahaaya2.bbmp.gov.in/Grievance/ReviewReport.aspx
https://btp.karnataka.gov.in/200/be-aware-be-smart/en
https://btp.karnataka.gov.in/tmc/en</t>
        </is>
      </c>
      <c r="P39" s="17" t="inlineStr"/>
    </row>
    <row r="40" ht="82" customHeight="1">
      <c r="A40" s="20" t="inlineStr">
        <is>
          <t>R038</t>
        </is>
      </c>
      <c r="B40" s="20" t="inlineStr">
        <is>
          <t>Traffic &amp; Parking</t>
        </is>
      </c>
      <c r="C40" s="20" t="inlineStr">
        <is>
          <t>Construction lane closure or diversion problem</t>
        </is>
      </c>
      <c r="D40" s="20" t="inlineStr">
        <is>
          <t>work zone, road closed, no diversion, traffic diverted badly</t>
        </is>
      </c>
      <c r="E40" s="20" t="inlineStr">
        <is>
          <t>Identify permit/project owner</t>
        </is>
      </c>
      <c r="F40" s="21" t="inlineStr">
        <is>
          <t>Bengaluru Traffic Police (BTP)</t>
        </is>
      </c>
      <c r="G40" s="21" t="inlineStr">
        <is>
          <t>Project owner / GBA Engineering</t>
        </is>
      </c>
      <c r="H40" s="21" t="inlineStr">
        <is>
          <t>BTP validates traffic plan; project owner fixes barricading/diversion</t>
        </is>
      </c>
      <c r="I40" s="23" t="inlineStr">
        <is>
          <t>Yes</t>
        </is>
      </c>
      <c r="J40" s="22" t="inlineStr">
        <is>
          <t>112 if dangerous; BTP/Sahaaya</t>
        </is>
      </c>
      <c r="K40" s="22" t="inlineStr">
        <is>
          <t>Multi-agency project routing inference</t>
        </is>
      </c>
      <c r="L40" s="21" t="inlineStr">
        <is>
          <t>High</t>
        </is>
      </c>
      <c r="M40" s="21" t="inlineStr">
        <is>
          <t>Project owner unknown</t>
        </is>
      </c>
      <c r="N40" s="22" t="inlineStr">
        <is>
          <t>S08, S18, S19</t>
        </is>
      </c>
      <c r="O40" s="22" t="inlineStr">
        <is>
          <t>https://site.bbmp.gov.in/departmentwebsites/bbmpit/marcs.html
https://btp.karnataka.gov.in/tmc/en
https://english.bmrc.co.in/contact/</t>
        </is>
      </c>
      <c r="P40" s="21" t="inlineStr"/>
    </row>
    <row r="41" ht="82" customHeight="1">
      <c r="A41" s="15" t="inlineStr">
        <is>
          <t>R039</t>
        </is>
      </c>
      <c r="B41" s="15" t="inlineStr">
        <is>
          <t>Traffic &amp; Parking</t>
        </is>
      </c>
      <c r="C41" s="15" t="inlineStr">
        <is>
          <t>School-zone congestion or unsafe crossing</t>
        </is>
      </c>
      <c r="D41" s="15" t="inlineStr">
        <is>
          <t>school traffic, children crossing, no zebra crossing</t>
        </is>
      </c>
      <c r="E41" s="15" t="inlineStr">
        <is>
          <t>Confirm road and school jurisdiction</t>
        </is>
      </c>
      <c r="F41" s="16" t="inlineStr">
        <is>
          <t>Bengaluru Traffic Police (BTP)</t>
        </is>
      </c>
      <c r="G41" s="17" t="inlineStr">
        <is>
          <t>GBA Road/TEC / Education authority</t>
        </is>
      </c>
      <c r="H41" s="17" t="inlineStr">
        <is>
          <t>Civil task for crossing, markings, bollards or footpath; enforcement task for parking/flow</t>
        </is>
      </c>
      <c r="I41" s="18" t="inlineStr">
        <is>
          <t>Conditional</t>
        </is>
      </c>
      <c r="J41" s="19" t="inlineStr">
        <is>
          <t>BTP complaint / Sahaaya</t>
        </is>
      </c>
      <c r="K41" s="19" t="inlineStr">
        <is>
          <t>Traffic + engineering inference</t>
        </is>
      </c>
      <c r="L41" s="17" t="inlineStr">
        <is>
          <t>Medium</t>
        </is>
      </c>
      <c r="M41" s="17" t="inlineStr">
        <is>
          <t>School is on private campus/state road</t>
        </is>
      </c>
      <c r="N41" s="19" t="inlineStr">
        <is>
          <t>S18, S03, S05</t>
        </is>
      </c>
      <c r="O41" s="19" t="inlineStr">
        <is>
          <t>https://btp.karnataka.gov.in/tmc/en
https://sahaaya2.bbmp.gov.in/Grievance/ReviewReport.aspx
https://site.bbmp.gov.in/departmentwebsites/Eng/about.html</t>
        </is>
      </c>
      <c r="P41" s="17" t="inlineStr"/>
    </row>
    <row r="42" ht="82" customHeight="1">
      <c r="A42" s="20" t="inlineStr">
        <is>
          <t>R040</t>
        </is>
      </c>
      <c r="B42" s="20" t="inlineStr">
        <is>
          <t>Water &amp; Sewerage</t>
        </is>
      </c>
      <c r="C42" s="20" t="inlineStr">
        <is>
          <t>No water supply</t>
        </is>
      </c>
      <c r="D42" s="20" t="inlineStr">
        <is>
          <t>no water, supply stopped, tap dry</t>
        </is>
      </c>
      <c r="E42" s="20" t="inlineStr">
        <is>
          <t>BWSSB service area and connection/RR number</t>
        </is>
      </c>
      <c r="F42" s="21" t="inlineStr">
        <is>
          <t>Bangalore Water Supply and Sewerage Board (BWSSB)</t>
        </is>
      </c>
      <c r="G42" s="21" t="inlineStr">
        <is>
          <t>None</t>
        </is>
      </c>
      <c r="H42" s="21" t="inlineStr">
        <is>
          <t>Single-department service complaint unless a major incident affects roads/traffic</t>
        </is>
      </c>
      <c r="I42" s="20" t="inlineStr">
        <is>
          <t>No</t>
        </is>
      </c>
      <c r="J42" s="22" t="inlineStr">
        <is>
          <t>BWSSB CRM / 1916</t>
        </is>
      </c>
      <c r="K42" s="22" t="inlineStr">
        <is>
          <t>Direct official BWSSB scope</t>
        </is>
      </c>
      <c r="L42" s="21" t="inlineStr">
        <is>
          <t>High</t>
        </is>
      </c>
      <c r="M42" s="21" t="inlineStr">
        <is>
          <t>Private borewell/layout supply</t>
        </is>
      </c>
      <c r="N42" s="22" t="inlineStr">
        <is>
          <t>S13, S14</t>
        </is>
      </c>
      <c r="O42" s="22" t="inlineStr">
        <is>
          <t>https://bwssb.karnataka.gov.in/31/About%20BWSSB/en
https://cms.bwssb.gov.in/module/complain/new_complaint</t>
        </is>
      </c>
      <c r="P42" s="21" t="inlineStr"/>
    </row>
    <row r="43" ht="82" customHeight="1">
      <c r="A43" s="15" t="inlineStr">
        <is>
          <t>R041</t>
        </is>
      </c>
      <c r="B43" s="15" t="inlineStr">
        <is>
          <t>Water &amp; Sewerage</t>
        </is>
      </c>
      <c r="C43" s="15" t="inlineStr">
        <is>
          <t>Low water pressure</t>
        </is>
      </c>
      <c r="D43" s="15" t="inlineStr">
        <is>
          <t>low pressure, weak flow</t>
        </is>
      </c>
      <c r="E43" s="15" t="inlineStr">
        <is>
          <t>BWSSB service area and RR number</t>
        </is>
      </c>
      <c r="F43" s="16" t="inlineStr">
        <is>
          <t>Bangalore Water Supply and Sewerage Board (BWSSB)</t>
        </is>
      </c>
      <c r="G43" s="16" t="inlineStr">
        <is>
          <t>None</t>
        </is>
      </c>
      <c r="H43" s="16" t="inlineStr">
        <is>
          <t>Single-department service complaint</t>
        </is>
      </c>
      <c r="I43" s="15" t="inlineStr">
        <is>
          <t>No</t>
        </is>
      </c>
      <c r="J43" s="19" t="inlineStr">
        <is>
          <t>BWSSB CRM / 1916</t>
        </is>
      </c>
      <c r="K43" s="19" t="inlineStr">
        <is>
          <t>Direct official BWSSB scope</t>
        </is>
      </c>
      <c r="L43" s="16" t="inlineStr">
        <is>
          <t>High</t>
        </is>
      </c>
      <c r="M43" s="16" t="inlineStr">
        <is>
          <t>Private internal plumbing</t>
        </is>
      </c>
      <c r="N43" s="19" t="inlineStr">
        <is>
          <t>S13, S14</t>
        </is>
      </c>
      <c r="O43" s="19" t="inlineStr">
        <is>
          <t>https://bwssb.karnataka.gov.in/31/About%20BWSSB/en
https://cms.bwssb.gov.in/module/complain/new_complaint</t>
        </is>
      </c>
      <c r="P43" s="16" t="inlineStr"/>
    </row>
    <row r="44" ht="82" customHeight="1">
      <c r="A44" s="20" t="inlineStr">
        <is>
          <t>R042</t>
        </is>
      </c>
      <c r="B44" s="20" t="inlineStr">
        <is>
          <t>Water &amp; Sewerage</t>
        </is>
      </c>
      <c r="C44" s="20" t="inlineStr">
        <is>
          <t>Contaminated or discoloured tap water</t>
        </is>
      </c>
      <c r="D44" s="20" t="inlineStr">
        <is>
          <t>dirty water, smell, brown water, unsafe water</t>
        </is>
      </c>
      <c r="E44" s="20" t="inlineStr">
        <is>
          <t>BWSSB connection and affected area</t>
        </is>
      </c>
      <c r="F44" s="21" t="inlineStr">
        <is>
          <t>Bangalore Water Supply and Sewerage Board (BWSSB)</t>
        </is>
      </c>
      <c r="G44" s="21" t="inlineStr">
        <is>
          <t>Relevant GBA City Corporation – Health</t>
        </is>
      </c>
      <c r="H44" s="21" t="inlineStr">
        <is>
          <t>Health unit only if there is a wider public-health incident requiring sampling/advisory</t>
        </is>
      </c>
      <c r="I44" s="18" t="inlineStr">
        <is>
          <t>Conditional</t>
        </is>
      </c>
      <c r="J44" s="22" t="inlineStr">
        <is>
          <t>BWSSB CRM; health/emergency escalation if illness cluster</t>
        </is>
      </c>
      <c r="K44" s="22" t="inlineStr">
        <is>
          <t>Direct BWSSB scope + health inference</t>
        </is>
      </c>
      <c r="L44" s="21" t="inlineStr">
        <is>
          <t>High</t>
        </is>
      </c>
      <c r="M44" s="21" t="inlineStr">
        <is>
          <t>Source is private tank/borewell</t>
        </is>
      </c>
      <c r="N44" s="22" t="inlineStr">
        <is>
          <t>S13, S14, S03</t>
        </is>
      </c>
      <c r="O44" s="22" t="inlineStr">
        <is>
          <t>https://bwssb.karnataka.gov.in/31/About%20BWSSB/en
https://cms.bwssb.gov.in/module/complain/new_complaint
https://sahaaya2.bbmp.gov.in/Grievance/ReviewReport.aspx</t>
        </is>
      </c>
      <c r="P44" s="21" t="inlineStr"/>
    </row>
    <row r="45" ht="82" customHeight="1">
      <c r="A45" s="15" t="inlineStr">
        <is>
          <t>R043</t>
        </is>
      </c>
      <c r="B45" s="15" t="inlineStr">
        <is>
          <t>Water &amp; Sewerage</t>
        </is>
      </c>
      <c r="C45" s="15" t="inlineStr">
        <is>
          <t>Water leakage on public road</t>
        </is>
      </c>
      <c r="D45" s="15" t="inlineStr">
        <is>
          <t>pipe leak, water flowing on street</t>
        </is>
      </c>
      <c r="E45" s="15" t="inlineStr">
        <is>
          <t>Confirm public BWSSB pipeline vs private connection</t>
        </is>
      </c>
      <c r="F45" s="16" t="inlineStr">
        <is>
          <t>Bangalore Water Supply and Sewerage Board (BWSSB)</t>
        </is>
      </c>
      <c r="G45" s="17" t="inlineStr">
        <is>
          <t>Relevant GBA City Corporation – Engineering / Road Infrastructure</t>
        </is>
      </c>
      <c r="H45" s="17" t="inlineStr">
        <is>
          <t>Road task when leakage damages surface or repair requires reinstatement; BTP if lane hazard</t>
        </is>
      </c>
      <c r="I45" s="18" t="inlineStr">
        <is>
          <t>Conditional</t>
        </is>
      </c>
      <c r="J45" s="19" t="inlineStr">
        <is>
          <t>BWSSB CRM / 1916</t>
        </is>
      </c>
      <c r="K45" s="19" t="inlineStr">
        <is>
          <t>Direct BWSSB scope + road-restoration workflow</t>
        </is>
      </c>
      <c r="L45" s="17" t="inlineStr">
        <is>
          <t>High</t>
        </is>
      </c>
      <c r="M45" s="17" t="inlineStr">
        <is>
          <t>Leak source unclear</t>
        </is>
      </c>
      <c r="N45" s="19" t="inlineStr">
        <is>
          <t>S13, S14, S08</t>
        </is>
      </c>
      <c r="O45" s="19" t="inlineStr">
        <is>
          <t>https://bwssb.karnataka.gov.in/31/About%20BWSSB/en
https://cms.bwssb.gov.in/module/complain/new_complaint
https://site.bbmp.gov.in/departmentwebsites/bbmpit/marcs.html</t>
        </is>
      </c>
      <c r="P45" s="17" t="inlineStr"/>
    </row>
    <row r="46" ht="82" customHeight="1">
      <c r="A46" s="20" t="inlineStr">
        <is>
          <t>R044</t>
        </is>
      </c>
      <c r="B46" s="20" t="inlineStr">
        <is>
          <t>Water &amp; Sewerage</t>
        </is>
      </c>
      <c r="C46" s="20" t="inlineStr">
        <is>
          <t>Burst water main</t>
        </is>
      </c>
      <c r="D46" s="20" t="inlineStr">
        <is>
          <t>major pipe burst, flooding from pipeline</t>
        </is>
      </c>
      <c r="E46" s="20" t="inlineStr">
        <is>
          <t>Confirm BWSSB pipeline</t>
        </is>
      </c>
      <c r="F46" s="21" t="inlineStr">
        <is>
          <t>Bangalore Water Supply and Sewerage Board (BWSSB)</t>
        </is>
      </c>
      <c r="G46" s="21" t="inlineStr">
        <is>
          <t>Relevant GBA City Corporation – Engineering / Road Infrastructure; BTP</t>
        </is>
      </c>
      <c r="H46" s="21" t="inlineStr">
        <is>
          <t>Road restoration and traffic control where required</t>
        </is>
      </c>
      <c r="I46" s="23" t="inlineStr">
        <is>
          <t>Yes</t>
        </is>
      </c>
      <c r="J46" s="22" t="inlineStr">
        <is>
          <t>1916; 112 if people/vehicles endangered</t>
        </is>
      </c>
      <c r="K46" s="22" t="inlineStr">
        <is>
          <t>Direct scope + emergency co-routing</t>
        </is>
      </c>
      <c r="L46" s="21" t="inlineStr">
        <is>
          <t>High</t>
        </is>
      </c>
      <c r="M46" s="21" t="inlineStr">
        <is>
          <t>Pipeline owner unclear</t>
        </is>
      </c>
      <c r="N46" s="22" t="inlineStr">
        <is>
          <t>S13, S14, S18, S24</t>
        </is>
      </c>
      <c r="O46" s="22" t="inlineStr">
        <is>
          <t>https://bwssb.karnataka.gov.in/31/About%20BWSSB/en
https://cms.bwssb.gov.in/module/complain/new_complaint
https://btp.karnataka.gov.in/tmc/en
https://ksfes.karnataka.gov.in/en</t>
        </is>
      </c>
      <c r="P46" s="21" t="inlineStr"/>
    </row>
    <row r="47" ht="82" customHeight="1">
      <c r="A47" s="15" t="inlineStr">
        <is>
          <t>R045</t>
        </is>
      </c>
      <c r="B47" s="15" t="inlineStr">
        <is>
          <t>Water &amp; Sewerage</t>
        </is>
      </c>
      <c r="C47" s="15" t="inlineStr">
        <is>
          <t>Illegal water connection or water theft</t>
        </is>
      </c>
      <c r="D47" s="15" t="inlineStr">
        <is>
          <t>unauthorized connection, illegal tapping</t>
        </is>
      </c>
      <c r="E47" s="15" t="inlineStr">
        <is>
          <t>BWSSB network/consumer identity</t>
        </is>
      </c>
      <c r="F47" s="16" t="inlineStr">
        <is>
          <t>Bangalore Water Supply and Sewerage Board (BWSSB)</t>
        </is>
      </c>
      <c r="G47" s="17" t="inlineStr">
        <is>
          <t>Police</t>
        </is>
      </c>
      <c r="H47" s="17" t="inlineStr">
        <is>
          <t>Add police when active theft, tampering or enforcement support is required</t>
        </is>
      </c>
      <c r="I47" s="27" t="inlineStr">
        <is>
          <t>No</t>
        </is>
      </c>
      <c r="J47" s="19" t="inlineStr">
        <is>
          <t>BWSSB complaint</t>
        </is>
      </c>
      <c r="K47" s="19" t="inlineStr">
        <is>
          <t>Direct BWSSB scope</t>
        </is>
      </c>
      <c r="L47" s="17" t="inlineStr">
        <is>
          <t>High</t>
        </is>
      </c>
      <c r="M47" s="17" t="inlineStr">
        <is>
          <t>Private layout network</t>
        </is>
      </c>
      <c r="N47" s="19" t="inlineStr">
        <is>
          <t>S13, S14</t>
        </is>
      </c>
      <c r="O47" s="19" t="inlineStr">
        <is>
          <t>https://bwssb.karnataka.gov.in/31/About%20BWSSB/en
https://cms.bwssb.gov.in/module/complain/new_complaint</t>
        </is>
      </c>
      <c r="P47" s="17" t="inlineStr"/>
    </row>
    <row r="48" ht="82" customHeight="1">
      <c r="A48" s="20" t="inlineStr">
        <is>
          <t>R046</t>
        </is>
      </c>
      <c r="B48" s="20" t="inlineStr">
        <is>
          <t>Water &amp; Sewerage</t>
        </is>
      </c>
      <c r="C48" s="20" t="inlineStr">
        <is>
          <t>Water meter, RR number or billing complaint</t>
        </is>
      </c>
      <c r="D48" s="20" t="inlineStr">
        <is>
          <t>wrong bill, meter faulty, RR issue, excess bill</t>
        </is>
      </c>
      <c r="E48" s="20" t="inlineStr">
        <is>
          <t>BWSSB customer account</t>
        </is>
      </c>
      <c r="F48" s="21" t="inlineStr">
        <is>
          <t>Bangalore Water Supply and Sewerage Board (BWSSB)</t>
        </is>
      </c>
      <c r="G48" s="21" t="inlineStr">
        <is>
          <t>None</t>
        </is>
      </c>
      <c r="H48" s="21" t="inlineStr">
        <is>
          <t>Single-department customer-service issue</t>
        </is>
      </c>
      <c r="I48" s="20" t="inlineStr">
        <is>
          <t>No</t>
        </is>
      </c>
      <c r="J48" s="22" t="inlineStr">
        <is>
          <t>BWSSB CRM / 1916</t>
        </is>
      </c>
      <c r="K48" s="22" t="inlineStr">
        <is>
          <t>Direct official BWSSB scope</t>
        </is>
      </c>
      <c r="L48" s="21" t="inlineStr">
        <is>
          <t>High</t>
        </is>
      </c>
      <c r="M48" s="21" t="inlineStr">
        <is>
          <t>None</t>
        </is>
      </c>
      <c r="N48" s="22" t="inlineStr">
        <is>
          <t>S13, S14</t>
        </is>
      </c>
      <c r="O48" s="22" t="inlineStr">
        <is>
          <t>https://bwssb.karnataka.gov.in/31/About%20BWSSB/en
https://cms.bwssb.gov.in/module/complain/new_complaint</t>
        </is>
      </c>
      <c r="P48" s="21" t="inlineStr"/>
    </row>
    <row r="49" ht="82" customHeight="1">
      <c r="A49" s="15" t="inlineStr">
        <is>
          <t>R047</t>
        </is>
      </c>
      <c r="B49" s="15" t="inlineStr">
        <is>
          <t>Water &amp; Sewerage</t>
        </is>
      </c>
      <c r="C49" s="15" t="inlineStr">
        <is>
          <t>Sewer blockage</t>
        </is>
      </c>
      <c r="D49" s="15" t="inlineStr">
        <is>
          <t>drainage blocked, sewer choked, toilet line backing up</t>
        </is>
      </c>
      <c r="E49" s="15" t="inlineStr">
        <is>
          <t>Public BWSSB sewer vs private building line</t>
        </is>
      </c>
      <c r="F49" s="16" t="inlineStr">
        <is>
          <t>Bangalore Water Supply and Sewerage Board (BWSSB)</t>
        </is>
      </c>
      <c r="G49" s="17" t="inlineStr">
        <is>
          <t>Relevant GBA City Corporation – Health</t>
        </is>
      </c>
      <c r="H49" s="17" t="inlineStr">
        <is>
          <t>Health task for broad sanitation/public-health impact</t>
        </is>
      </c>
      <c r="I49" s="18" t="inlineStr">
        <is>
          <t>Conditional</t>
        </is>
      </c>
      <c r="J49" s="19" t="inlineStr">
        <is>
          <t>BWSSB CRM / 1916</t>
        </is>
      </c>
      <c r="K49" s="19" t="inlineStr">
        <is>
          <t>Direct official BWSSB scope</t>
        </is>
      </c>
      <c r="L49" s="17" t="inlineStr">
        <is>
          <t>High</t>
        </is>
      </c>
      <c r="M49" s="17" t="inlineStr">
        <is>
          <t>Private lateral/internal plumbing</t>
        </is>
      </c>
      <c r="N49" s="19" t="inlineStr">
        <is>
          <t>S13, S14</t>
        </is>
      </c>
      <c r="O49" s="19" t="inlineStr">
        <is>
          <t>https://bwssb.karnataka.gov.in/31/About%20BWSSB/en
https://cms.bwssb.gov.in/module/complain/new_complaint</t>
        </is>
      </c>
      <c r="P49" s="17" t="inlineStr"/>
    </row>
    <row r="50" ht="82" customHeight="1">
      <c r="A50" s="20" t="inlineStr">
        <is>
          <t>R048</t>
        </is>
      </c>
      <c r="B50" s="20" t="inlineStr">
        <is>
          <t>Water &amp; Sewerage</t>
        </is>
      </c>
      <c r="C50" s="20" t="inlineStr">
        <is>
          <t>Sewage overflow on road</t>
        </is>
      </c>
      <c r="D50" s="20" t="inlineStr">
        <is>
          <t>sewage on street, foul water overflowing</t>
        </is>
      </c>
      <c r="E50" s="20" t="inlineStr">
        <is>
          <t>Confirm BWSSB sewer/manhole</t>
        </is>
      </c>
      <c r="F50" s="21" t="inlineStr">
        <is>
          <t>Bangalore Water Supply and Sewerage Board (BWSSB)</t>
        </is>
      </c>
      <c r="G50" s="21" t="inlineStr">
        <is>
          <t>Relevant GBA City Corporation – Health; Relevant GBA City Corporation – Engineering / Road Infrastructure; BTP</t>
        </is>
      </c>
      <c r="H50" s="21" t="inlineStr">
        <is>
          <t>Health for public sanitation, road for surface damage/cleanup coordination, BTP for obstruction</t>
        </is>
      </c>
      <c r="I50" s="18" t="inlineStr">
        <is>
          <t>Conditional</t>
        </is>
      </c>
      <c r="J50" s="22" t="inlineStr">
        <is>
          <t>BWSSB CRM; 112 only for immediate danger</t>
        </is>
      </c>
      <c r="K50" s="22" t="inlineStr">
        <is>
          <t>Direct scope + multi-agency inference</t>
        </is>
      </c>
      <c r="L50" s="21" t="inlineStr">
        <is>
          <t>High</t>
        </is>
      </c>
      <c r="M50" s="21" t="inlineStr">
        <is>
          <t>Storm water rather than sewage</t>
        </is>
      </c>
      <c r="N50" s="22" t="inlineStr">
        <is>
          <t>S13, S14, S03, S18</t>
        </is>
      </c>
      <c r="O50" s="22" t="inlineStr">
        <is>
          <t>https://bwssb.karnataka.gov.in/31/About%20BWSSB/en
https://cms.bwssb.gov.in/module/complain/new_complaint
https://sahaaya2.bbmp.gov.in/Grievance/ReviewReport.aspx
https://btp.karnataka.gov.in/tmc/en</t>
        </is>
      </c>
      <c r="P50" s="21" t="inlineStr"/>
    </row>
    <row r="51" ht="82" customHeight="1">
      <c r="A51" s="24" t="inlineStr">
        <is>
          <t>R049</t>
        </is>
      </c>
      <c r="B51" s="24" t="inlineStr">
        <is>
          <t>Water &amp; Sewerage</t>
        </is>
      </c>
      <c r="C51" s="24" t="inlineStr">
        <is>
          <t>Open, damaged or overflowing sewer manhole</t>
        </is>
      </c>
      <c r="D51" s="24" t="inlineStr">
        <is>
          <t>open manhole, broken chamber, sewage manhole</t>
        </is>
      </c>
      <c r="E51" s="24" t="inlineStr">
        <is>
          <t>Confirm sewer asset owner</t>
        </is>
      </c>
      <c r="F51" s="25" t="inlineStr">
        <is>
          <t>Bangalore Water Supply and Sewerage Board (BWSSB)</t>
        </is>
      </c>
      <c r="G51" s="25" t="inlineStr">
        <is>
          <t>Bengaluru Traffic Police (BTP)</t>
        </is>
      </c>
      <c r="H51" s="25" t="inlineStr">
        <is>
          <t>BTP for immediate barricading/traffic danger on carriageway; city corporation if road surface also damaged</t>
        </is>
      </c>
      <c r="I51" s="23" t="inlineStr">
        <is>
          <t>Yes</t>
        </is>
      </c>
      <c r="J51" s="26" t="inlineStr">
        <is>
          <t>112 for immediate danger; BWSSB CRM</t>
        </is>
      </c>
      <c r="K51" s="26" t="inlineStr">
        <is>
          <t>Direct scope + safety inference</t>
        </is>
      </c>
      <c r="L51" s="25" t="inlineStr">
        <is>
          <t>High</t>
        </is>
      </c>
      <c r="M51" s="25" t="inlineStr">
        <is>
          <t>It may be a storm-water chamber rather than sewer</t>
        </is>
      </c>
      <c r="N51" s="26" t="inlineStr">
        <is>
          <t>S13, S14, S18, S24</t>
        </is>
      </c>
      <c r="O51" s="26" t="inlineStr">
        <is>
          <t>https://bwssb.karnataka.gov.in/31/About%20BWSSB/en
https://cms.bwssb.gov.in/module/complain/new_complaint
https://btp.karnataka.gov.in/tmc/en
https://ksfes.karnataka.gov.in/en</t>
        </is>
      </c>
      <c r="P51" s="25" t="inlineStr"/>
    </row>
    <row r="52" ht="82" customHeight="1">
      <c r="A52" s="20" t="inlineStr">
        <is>
          <t>R050</t>
        </is>
      </c>
      <c r="B52" s="20" t="inlineStr">
        <is>
          <t>Water &amp; Sewerage</t>
        </is>
      </c>
      <c r="C52" s="20" t="inlineStr">
        <is>
          <t>Missing sewer manhole cover</t>
        </is>
      </c>
      <c r="D52" s="20" t="inlineStr">
        <is>
          <t>manhole cover missing, open hole</t>
        </is>
      </c>
      <c r="E52" s="20" t="inlineStr">
        <is>
          <t>Identify sewer vs storm drain vs telecom/electric chamber</t>
        </is>
      </c>
      <c r="F52" s="21" t="inlineStr">
        <is>
          <t>Bangalore Water Supply and Sewerage Board (BWSSB)</t>
        </is>
      </c>
      <c r="G52" s="21" t="inlineStr">
        <is>
          <t>BTP / relevant chamber owner</t>
        </is>
      </c>
      <c r="H52" s="21" t="inlineStr">
        <is>
          <t>Route to SWD, BESCOM or telecom instead if asset identification shows another owner</t>
        </is>
      </c>
      <c r="I52" s="23" t="inlineStr">
        <is>
          <t>Yes</t>
        </is>
      </c>
      <c r="J52" s="22" t="inlineStr">
        <is>
          <t>112 for immediate danger</t>
        </is>
      </c>
      <c r="K52" s="22" t="inlineStr">
        <is>
          <t>Asset identification required</t>
        </is>
      </c>
      <c r="L52" s="21" t="inlineStr">
        <is>
          <t>High</t>
        </is>
      </c>
      <c r="M52" s="21" t="inlineStr">
        <is>
          <t>Asset type unclear</t>
        </is>
      </c>
      <c r="N52" s="22" t="inlineStr">
        <is>
          <t>S13, S18, S24</t>
        </is>
      </c>
      <c r="O52" s="22" t="inlineStr">
        <is>
          <t>https://bwssb.karnataka.gov.in/31/About%20BWSSB/en
https://btp.karnataka.gov.in/tmc/en
https://ksfes.karnataka.gov.in/en</t>
        </is>
      </c>
      <c r="P52" s="21" t="inlineStr"/>
    </row>
    <row r="53" ht="82" customHeight="1">
      <c r="A53" s="15" t="inlineStr">
        <is>
          <t>R051</t>
        </is>
      </c>
      <c r="B53" s="15" t="inlineStr">
        <is>
          <t>Water &amp; Sewerage</t>
        </is>
      </c>
      <c r="C53" s="15" t="inlineStr">
        <is>
          <t>Sewage entering a storm-water drain</t>
        </is>
      </c>
      <c r="D53" s="15" t="inlineStr">
        <is>
          <t>sewage in rajakaluve, foul water in drain</t>
        </is>
      </c>
      <c r="E53" s="15" t="inlineStr">
        <is>
          <t>Confirm sewage source and drain owner</t>
        </is>
      </c>
      <c r="F53" s="16" t="inlineStr">
        <is>
          <t>Bangalore Water Supply and Sewerage Board (BWSSB)</t>
        </is>
      </c>
      <c r="G53" s="17" t="inlineStr">
        <is>
          <t>Relevant GBA City Corporation – Storm Water Drain (SWD)</t>
        </is>
      </c>
      <c r="H53" s="17" t="inlineStr">
        <is>
          <t>BWSSB stops sewage source; SWD handles drain condition/flow</t>
        </is>
      </c>
      <c r="I53" s="27" t="inlineStr">
        <is>
          <t>No</t>
        </is>
      </c>
      <c r="J53" s="19" t="inlineStr">
        <is>
          <t>BWSSB CRM + Sahaaya</t>
        </is>
      </c>
      <c r="K53" s="19" t="inlineStr">
        <is>
          <t>Direct scopes + linked remediation inference</t>
        </is>
      </c>
      <c r="L53" s="17" t="inlineStr">
        <is>
          <t>High</t>
        </is>
      </c>
      <c r="M53" s="17" t="inlineStr">
        <is>
          <t>Industrial effluent may require KSPCB</t>
        </is>
      </c>
      <c r="N53" s="19" t="inlineStr">
        <is>
          <t>S12, S13, S23</t>
        </is>
      </c>
      <c r="O53" s="19" t="inlineStr">
        <is>
          <t>https://site.bbmp.gov.in/encroachment.html
https://bwssb.karnataka.gov.in/31/About%20BWSSB/en
https://kspcb.karnataka.gov.in/contact-us-0</t>
        </is>
      </c>
      <c r="P53" s="17" t="inlineStr"/>
    </row>
    <row r="54" ht="82" customHeight="1">
      <c r="A54" s="20" t="inlineStr">
        <is>
          <t>R052</t>
        </is>
      </c>
      <c r="B54" s="20" t="inlineStr">
        <is>
          <t>Water &amp; Sewerage</t>
        </is>
      </c>
      <c r="C54" s="20" t="inlineStr">
        <is>
          <t>Sewage entering a lake</t>
        </is>
      </c>
      <c r="D54" s="20" t="inlineStr">
        <is>
          <t>sewage inlet to lake, foam, foul lake inflow</t>
        </is>
      </c>
      <c r="E54" s="20" t="inlineStr">
        <is>
          <t>Identify lake custodian and sewage source</t>
        </is>
      </c>
      <c r="F54" s="21" t="inlineStr">
        <is>
          <t>Bangalore Water Supply and Sewerage Board (BWSSB)</t>
        </is>
      </c>
      <c r="G54" s="21" t="inlineStr">
        <is>
          <t>Relevant lake custodian – municipal Lakes unit when in municipal custody; KSPCB</t>
        </is>
      </c>
      <c r="H54" s="21" t="inlineStr">
        <is>
          <t>BWSSB stops sewage source; custodian restores lake; KSPCB for pollution oversight when appropriate</t>
        </is>
      </c>
      <c r="I54" s="18" t="inlineStr">
        <is>
          <t>Conditional</t>
        </is>
      </c>
      <c r="J54" s="22" t="inlineStr">
        <is>
          <t>BWSSB + lake custodian + KSPCB complaint</t>
        </is>
      </c>
      <c r="K54" s="22" t="inlineStr">
        <is>
          <t>Official scopes + multi-agency inference</t>
        </is>
      </c>
      <c r="L54" s="21" t="inlineStr">
        <is>
          <t>High</t>
        </is>
      </c>
      <c r="M54" s="21" t="inlineStr">
        <is>
          <t>Lake custodian unknown</t>
        </is>
      </c>
      <c r="N54" s="22" t="inlineStr">
        <is>
          <t>S10, S11, S13, S23</t>
        </is>
      </c>
      <c r="O54" s="22" t="inlineStr">
        <is>
          <t>https://site.bbmp.gov.in/departmentwebsites/lakes/Activities.html
https://site.bbmp.gov.in/departmentwebsites/Lakes/Abstract.html
https://bwssb.karnataka.gov.in/31/About%20BWSSB/en
https://kspcb.karnataka.gov.in/contact-us-0</t>
        </is>
      </c>
      <c r="P54" s="21" t="inlineStr"/>
    </row>
    <row r="55" ht="82" customHeight="1">
      <c r="A55" s="15" t="inlineStr">
        <is>
          <t>R053</t>
        </is>
      </c>
      <c r="B55" s="15" t="inlineStr">
        <is>
          <t>Water &amp; Sewerage</t>
        </is>
      </c>
      <c r="C55" s="15" t="inlineStr">
        <is>
          <t>Sewage-treatment plant odour or discharge complaint</t>
        </is>
      </c>
      <c r="D55" s="15" t="inlineStr">
        <is>
          <t>STP smell, untreated discharge, effluent</t>
        </is>
      </c>
      <c r="E55" s="15" t="inlineStr">
        <is>
          <t>Identify BWSSB/private STP and discharge point</t>
        </is>
      </c>
      <c r="F55" s="16" t="inlineStr">
        <is>
          <t>Bangalore Water Supply and Sewerage Board (BWSSB)</t>
        </is>
      </c>
      <c r="G55" s="17" t="inlineStr">
        <is>
          <t>Karnataka State Pollution Control Board (KSPCB)</t>
        </is>
      </c>
      <c r="H55" s="17" t="inlineStr">
        <is>
          <t>KSPCB for environmental compliance/pollution complaint</t>
        </is>
      </c>
      <c r="I55" s="27" t="inlineStr">
        <is>
          <t>No</t>
        </is>
      </c>
      <c r="J55" s="19" t="inlineStr">
        <is>
          <t>BWSSB + KSPCB</t>
        </is>
      </c>
      <c r="K55" s="19" t="inlineStr">
        <is>
          <t>Direct scopes</t>
        </is>
      </c>
      <c r="L55" s="17" t="inlineStr">
        <is>
          <t>High</t>
        </is>
      </c>
      <c r="M55" s="17" t="inlineStr">
        <is>
          <t>Private apartment/industrial STP</t>
        </is>
      </c>
      <c r="N55" s="19" t="inlineStr">
        <is>
          <t>S13, S23</t>
        </is>
      </c>
      <c r="O55" s="19" t="inlineStr">
        <is>
          <t>https://bwssb.karnataka.gov.in/31/About%20BWSSB/en
https://kspcb.karnataka.gov.in/contact-us-0</t>
        </is>
      </c>
      <c r="P55" s="17" t="inlineStr"/>
    </row>
    <row r="56" ht="82" customHeight="1">
      <c r="A56" s="20" t="inlineStr">
        <is>
          <t>R054</t>
        </is>
      </c>
      <c r="B56" s="20" t="inlineStr">
        <is>
          <t>Water &amp; Sewerage</t>
        </is>
      </c>
      <c r="C56" s="20" t="inlineStr">
        <is>
          <t>Public water tap or standpost damaged</t>
        </is>
      </c>
      <c r="D56" s="20" t="inlineStr">
        <is>
          <t>public tap broken, standpost leak</t>
        </is>
      </c>
      <c r="E56" s="20" t="inlineStr">
        <is>
          <t>Confirm BWSSB/municipal asset</t>
        </is>
      </c>
      <c r="F56" s="21" t="inlineStr">
        <is>
          <t>Bangalore Water Supply and Sewerage Board (BWSSB)</t>
        </is>
      </c>
      <c r="G56" s="21" t="inlineStr">
        <is>
          <t>Relevant GBA City Corporation – Engineering / Road Infrastructure</t>
        </is>
      </c>
      <c r="H56" s="21" t="inlineStr">
        <is>
          <t>Municipal civil task only for surrounding platform/road damage</t>
        </is>
      </c>
      <c r="I56" s="20" t="inlineStr">
        <is>
          <t>No</t>
        </is>
      </c>
      <c r="J56" s="22" t="inlineStr">
        <is>
          <t>BWSSB CRM / Sahaaya</t>
        </is>
      </c>
      <c r="K56" s="22" t="inlineStr">
        <is>
          <t>Scope + asset inference</t>
        </is>
      </c>
      <c r="L56" s="21" t="inlineStr">
        <is>
          <t>Medium</t>
        </is>
      </c>
      <c r="M56" s="21" t="inlineStr">
        <is>
          <t>Asset owned by another scheme</t>
        </is>
      </c>
      <c r="N56" s="22" t="inlineStr">
        <is>
          <t>S13, S03</t>
        </is>
      </c>
      <c r="O56" s="22" t="inlineStr">
        <is>
          <t>https://bwssb.karnataka.gov.in/31/About%20BWSSB/en
https://sahaaya2.bbmp.gov.in/Grievance/ReviewReport.aspx</t>
        </is>
      </c>
      <c r="P56" s="21" t="inlineStr"/>
    </row>
    <row r="57" ht="82" customHeight="1">
      <c r="A57" s="15" t="inlineStr">
        <is>
          <t>R055</t>
        </is>
      </c>
      <c r="B57" s="15" t="inlineStr">
        <is>
          <t>Water &amp; Sewerage</t>
        </is>
      </c>
      <c r="C57" s="15" t="inlineStr">
        <is>
          <t>Water tanker service complaint</t>
        </is>
      </c>
      <c r="D57" s="15" t="inlineStr">
        <is>
          <t>tanker not delivered, tanker quality, emergency water</t>
        </is>
      </c>
      <c r="E57" s="15" t="inlineStr">
        <is>
          <t>Confirm BWSSB-authorized service/area</t>
        </is>
      </c>
      <c r="F57" s="16" t="inlineStr">
        <is>
          <t>Bangalore Water Supply and Sewerage Board (BWSSB)</t>
        </is>
      </c>
      <c r="G57" s="17" t="inlineStr">
        <is>
          <t>Relevant GBA City Corporation – Health</t>
        </is>
      </c>
      <c r="H57" s="17" t="inlineStr">
        <is>
          <t>Health escalation for suspected contaminated tanker water</t>
        </is>
      </c>
      <c r="I57" s="18" t="inlineStr">
        <is>
          <t>Conditional</t>
        </is>
      </c>
      <c r="J57" s="19" t="inlineStr">
        <is>
          <t>BWSSB complaint</t>
        </is>
      </c>
      <c r="K57" s="19" t="inlineStr">
        <is>
          <t>BWSSB service inference</t>
        </is>
      </c>
      <c r="L57" s="17" t="inlineStr">
        <is>
          <t>Medium</t>
        </is>
      </c>
      <c r="M57" s="17" t="inlineStr">
        <is>
          <t>Private tanker commercial dispute</t>
        </is>
      </c>
      <c r="N57" s="19" t="inlineStr">
        <is>
          <t>S13, S14</t>
        </is>
      </c>
      <c r="O57" s="19" t="inlineStr">
        <is>
          <t>https://bwssb.karnataka.gov.in/31/About%20BWSSB/en
https://cms.bwssb.gov.in/module/complain/new_complaint</t>
        </is>
      </c>
      <c r="P57" s="17" t="inlineStr"/>
    </row>
    <row r="58" ht="82" customHeight="1">
      <c r="A58" s="20" t="inlineStr">
        <is>
          <t>R056</t>
        </is>
      </c>
      <c r="B58" s="20" t="inlineStr">
        <is>
          <t>Water &amp; Sewerage</t>
        </is>
      </c>
      <c r="C58" s="20" t="inlineStr">
        <is>
          <t>Water leak causing pothole or road collapse</t>
        </is>
      </c>
      <c r="D58" s="20" t="inlineStr">
        <is>
          <t>persistent leak, road broken, sinkhole with water</t>
        </is>
      </c>
      <c r="E58" s="20" t="inlineStr">
        <is>
          <t>Identify pipeline and road owner</t>
        </is>
      </c>
      <c r="F58" s="21" t="inlineStr">
        <is>
          <t>Bangalore Water Supply and Sewerage Board (BWSSB)</t>
        </is>
      </c>
      <c r="G58" s="21" t="inlineStr">
        <is>
          <t>Relevant GBA City Corporation – Engineering / Road Infrastructure</t>
        </is>
      </c>
      <c r="H58" s="21" t="inlineStr">
        <is>
          <t>Linked tasks are mandatory: stop leak first, then restore road; add BTP for hazard</t>
        </is>
      </c>
      <c r="I58" s="23" t="inlineStr">
        <is>
          <t>Yes</t>
        </is>
      </c>
      <c r="J58" s="22" t="inlineStr">
        <is>
          <t>BWSSB + Sahaaya; 112 if dangerous</t>
        </is>
      </c>
      <c r="K58" s="22" t="inlineStr">
        <is>
          <t>Official scopes + dependency routing</t>
        </is>
      </c>
      <c r="L58" s="21" t="inlineStr">
        <is>
          <t>High</t>
        </is>
      </c>
      <c r="M58" s="21" t="inlineStr">
        <is>
          <t>Cause not verified</t>
        </is>
      </c>
      <c r="N58" s="22" t="inlineStr">
        <is>
          <t>S08, S13, S18, S24</t>
        </is>
      </c>
      <c r="O58" s="22" t="inlineStr">
        <is>
          <t>https://site.bbmp.gov.in/departmentwebsites/bbmpit/marcs.html
https://bwssb.karnataka.gov.in/31/About%20BWSSB/en
https://btp.karnataka.gov.in/tmc/en
https://ksfes.karnataka.gov.in/en</t>
        </is>
      </c>
      <c r="P58" s="21" t="inlineStr"/>
    </row>
    <row r="59" ht="82" customHeight="1">
      <c r="A59" s="15" t="inlineStr">
        <is>
          <t>R057</t>
        </is>
      </c>
      <c r="B59" s="15" t="inlineStr">
        <is>
          <t>Water &amp; Sewerage</t>
        </is>
      </c>
      <c r="C59" s="15" t="inlineStr">
        <is>
          <t>BWSSB work obstructing traffic</t>
        </is>
      </c>
      <c r="D59" s="15" t="inlineStr">
        <is>
          <t>pipeline work blocking lane, sewer work traffic</t>
        </is>
      </c>
      <c r="E59" s="15" t="inlineStr">
        <is>
          <t>Confirm BWSSB project/permit</t>
        </is>
      </c>
      <c r="F59" s="16" t="inlineStr">
        <is>
          <t>Bangalore Water Supply and Sewerage Board (BWSSB)</t>
        </is>
      </c>
      <c r="G59" s="17" t="inlineStr">
        <is>
          <t>Bengaluru Traffic Police (BTP)</t>
        </is>
      </c>
      <c r="H59" s="17" t="inlineStr">
        <is>
          <t>BTP manages diversion/barricading; municipal engineering may verify road-cut permit</t>
        </is>
      </c>
      <c r="I59" s="18" t="inlineStr">
        <is>
          <t>Conditional</t>
        </is>
      </c>
      <c r="J59" s="19" t="inlineStr">
        <is>
          <t>BWSSB + BTP/Sahaaya</t>
        </is>
      </c>
      <c r="K59" s="19" t="inlineStr">
        <is>
          <t>Road-cutting + traffic scope</t>
        </is>
      </c>
      <c r="L59" s="17" t="inlineStr">
        <is>
          <t>High</t>
        </is>
      </c>
      <c r="M59" s="17" t="inlineStr">
        <is>
          <t>Contractor/project owner unclear</t>
        </is>
      </c>
      <c r="N59" s="19" t="inlineStr">
        <is>
          <t>S07, S08, S18</t>
        </is>
      </c>
      <c r="O59" s="19" t="inlineStr">
        <is>
          <t>https://site.bbmp.gov.in/departmentwebsites/Eng/EngDuct.html
https://site.bbmp.gov.in/departmentwebsites/bbmpit/marcs.html
https://btp.karnataka.gov.in/tmc/en</t>
        </is>
      </c>
      <c r="P59" s="17" t="inlineStr"/>
    </row>
    <row r="60" ht="82" customHeight="1">
      <c r="A60" s="20" t="inlineStr">
        <is>
          <t>R058</t>
        </is>
      </c>
      <c r="B60" s="20" t="inlineStr">
        <is>
          <t>Storm Water, Flooding &amp; Lakes</t>
        </is>
      </c>
      <c r="C60" s="20" t="inlineStr">
        <is>
          <t>Waterlogging caused by roadside drain</t>
        </is>
      </c>
      <c r="D60" s="20" t="inlineStr">
        <is>
          <t>rainwater standing, road flooded, side drain blocked</t>
        </is>
      </c>
      <c r="E60" s="20" t="inlineStr">
        <is>
          <t>Confirm municipal SWD/roadside drain and road owner</t>
        </is>
      </c>
      <c r="F60" s="21" t="inlineStr">
        <is>
          <t>Relevant GBA City Corporation – Storm Water Drain (SWD)</t>
        </is>
      </c>
      <c r="G60" s="21" t="inlineStr">
        <is>
          <t>Relevant GBA City Corporation – Engineering / Road Infrastructure; BTP</t>
        </is>
      </c>
      <c r="H60" s="21" t="inlineStr">
        <is>
          <t>Road unit for damaged gradient/surface; BTP for closure or traffic hazard</t>
        </is>
      </c>
      <c r="I60" s="18" t="inlineStr">
        <is>
          <t>Conditional</t>
        </is>
      </c>
      <c r="J60" s="22" t="inlineStr">
        <is>
          <t>Sahaaya / 1533</t>
        </is>
      </c>
      <c r="K60" s="22" t="inlineStr">
        <is>
          <t>Official SWD/engineering categories + routing inference</t>
        </is>
      </c>
      <c r="L60" s="21" t="inlineStr">
        <is>
          <t>High</t>
        </is>
      </c>
      <c r="M60" s="21" t="inlineStr">
        <is>
          <t>Water is from BWSSB pipeline/sewer rather than rain</t>
        </is>
      </c>
      <c r="N60" s="22" t="inlineStr">
        <is>
          <t>S03, S06, S12, S18</t>
        </is>
      </c>
      <c r="O60" s="22" t="inlineStr">
        <is>
          <t>https://sahaaya2.bbmp.gov.in/Grievance/ReviewReport.aspx
https://site.bbmp.gov.in/departmentwebsites/Eng/indexEnglish.html
https://site.bbmp.gov.in/encroachment.html
https://btp.karnataka.gov.in/tmc/en</t>
        </is>
      </c>
      <c r="P60" s="21" t="inlineStr"/>
    </row>
    <row r="61" ht="82" customHeight="1">
      <c r="A61" s="15" t="inlineStr">
        <is>
          <t>R059</t>
        </is>
      </c>
      <c r="B61" s="15" t="inlineStr">
        <is>
          <t>Storm Water, Flooding &amp; Lakes</t>
        </is>
      </c>
      <c r="C61" s="15" t="inlineStr">
        <is>
          <t>Clogged storm-water drain</t>
        </is>
      </c>
      <c r="D61" s="15" t="inlineStr">
        <is>
          <t>rain drain blocked, silt, leaves, no flow</t>
        </is>
      </c>
      <c r="E61" s="15" t="inlineStr">
        <is>
          <t>Confirm SWD asset</t>
        </is>
      </c>
      <c r="F61" s="16" t="inlineStr">
        <is>
          <t>Relevant GBA City Corporation – Storm Water Drain (SWD)</t>
        </is>
      </c>
      <c r="G61" s="17" t="inlineStr">
        <is>
          <t>BSWML / Relevant GBA City Corporation – Solid Waste Management</t>
        </is>
      </c>
      <c r="H61" s="17" t="inlineStr">
        <is>
          <t>SWM task when garbage dumping is the blockage source</t>
        </is>
      </c>
      <c r="I61" s="27" t="inlineStr">
        <is>
          <t>No</t>
        </is>
      </c>
      <c r="J61" s="19" t="inlineStr">
        <is>
          <t>Sahaaya / 1533</t>
        </is>
      </c>
      <c r="K61" s="19" t="inlineStr">
        <is>
          <t>Official categories + source-based co-routing</t>
        </is>
      </c>
      <c r="L61" s="17" t="inlineStr">
        <is>
          <t>High</t>
        </is>
      </c>
      <c r="M61" s="17" t="inlineStr">
        <is>
          <t>It may be a BWSSB sewer</t>
        </is>
      </c>
      <c r="N61" s="19" t="inlineStr">
        <is>
          <t>S03, S09, S12</t>
        </is>
      </c>
      <c r="O61" s="19" t="inlineStr">
        <is>
          <t>https://sahaaya2.bbmp.gov.in/Grievance/ReviewReport.aspx
https://site.bbmp.gov.in/departmentwebsites/swm/
https://site.bbmp.gov.in/encroachment.html</t>
        </is>
      </c>
      <c r="P61" s="17" t="inlineStr"/>
    </row>
    <row r="62" ht="82" customHeight="1">
      <c r="A62" s="20" t="inlineStr">
        <is>
          <t>R060</t>
        </is>
      </c>
      <c r="B62" s="20" t="inlineStr">
        <is>
          <t>Storm Water, Flooding &amp; Lakes</t>
        </is>
      </c>
      <c r="C62" s="20" t="inlineStr">
        <is>
          <t>Open or damaged storm-water drain</t>
        </is>
      </c>
      <c r="D62" s="20" t="inlineStr">
        <is>
          <t>open drain, broken drain wall, unsafe drain</t>
        </is>
      </c>
      <c r="E62" s="20" t="inlineStr">
        <is>
          <t>Confirm SWD asset and road owner</t>
        </is>
      </c>
      <c r="F62" s="21" t="inlineStr">
        <is>
          <t>Relevant GBA City Corporation – Storm Water Drain (SWD)</t>
        </is>
      </c>
      <c r="G62" s="21" t="inlineStr">
        <is>
          <t>Relevant GBA City Corporation – Engineering / Road Infrastructure; BTP</t>
        </is>
      </c>
      <c r="H62" s="21" t="inlineStr">
        <is>
          <t>Road/footpath restoration where linked; BTP when exposed opening threatens traffic</t>
        </is>
      </c>
      <c r="I62" s="23" t="inlineStr">
        <is>
          <t>Yes</t>
        </is>
      </c>
      <c r="J62" s="22" t="inlineStr">
        <is>
          <t>112 if immediate danger; Sahaaya</t>
        </is>
      </c>
      <c r="K62" s="22" t="inlineStr">
        <is>
          <t>Official scope + safety inference</t>
        </is>
      </c>
      <c r="L62" s="21" t="inlineStr">
        <is>
          <t>High</t>
        </is>
      </c>
      <c r="M62" s="21" t="inlineStr">
        <is>
          <t>Sewer/manhole rather than SWD</t>
        </is>
      </c>
      <c r="N62" s="22" t="inlineStr">
        <is>
          <t>S06, S12, S18, S24</t>
        </is>
      </c>
      <c r="O62" s="22" t="inlineStr">
        <is>
          <t>https://site.bbmp.gov.in/departmentwebsites/Eng/indexEnglish.html
https://site.bbmp.gov.in/encroachment.html
https://btp.karnataka.gov.in/tmc/en
https://ksfes.karnataka.gov.in/en</t>
        </is>
      </c>
      <c r="P62" s="21" t="inlineStr"/>
    </row>
    <row r="63" ht="82" customHeight="1">
      <c r="A63" s="24" t="inlineStr">
        <is>
          <t>R061</t>
        </is>
      </c>
      <c r="B63" s="24" t="inlineStr">
        <is>
          <t>Storm Water, Flooding &amp; Lakes</t>
        </is>
      </c>
      <c r="C63" s="24" t="inlineStr">
        <is>
          <t>Missing drain slab or cover</t>
        </is>
      </c>
      <c r="D63" s="24" t="inlineStr">
        <is>
          <t>drain cover missing, slab broken</t>
        </is>
      </c>
      <c r="E63" s="24" t="inlineStr">
        <is>
          <t>Identify SWD vs sewer vs utility chamber</t>
        </is>
      </c>
      <c r="F63" s="25" t="inlineStr">
        <is>
          <t>Relevant GBA City Corporation – Storm Water Drain (SWD)</t>
        </is>
      </c>
      <c r="G63" s="25" t="inlineStr">
        <is>
          <t>BTP / BWSSB / BESCOM / telecom owner</t>
        </is>
      </c>
      <c r="H63" s="25" t="inlineStr">
        <is>
          <t>Re-route based on asset type; BTP for immediate barricading</t>
        </is>
      </c>
      <c r="I63" s="23" t="inlineStr">
        <is>
          <t>Yes</t>
        </is>
      </c>
      <c r="J63" s="26" t="inlineStr">
        <is>
          <t>112 if dangerous; Sahaaya</t>
        </is>
      </c>
      <c r="K63" s="26" t="inlineStr">
        <is>
          <t>Asset identification required</t>
        </is>
      </c>
      <c r="L63" s="25" t="inlineStr">
        <is>
          <t>High</t>
        </is>
      </c>
      <c r="M63" s="25" t="inlineStr">
        <is>
          <t>Asset type unclear</t>
        </is>
      </c>
      <c r="N63" s="26" t="inlineStr">
        <is>
          <t>S12, S13, S15, S18, S24</t>
        </is>
      </c>
      <c r="O63" s="26" t="inlineStr">
        <is>
          <t>https://site.bbmp.gov.in/encroachment.html
https://bwssb.karnataka.gov.in/31/About%20BWSSB/en
https://bescom.karnataka.gov.in/301/Contact%20Us/en
https://btp.karnataka.gov.in/tmc/en
https://ksfes.karnataka.gov.in/en</t>
        </is>
      </c>
      <c r="P63" s="25" t="inlineStr"/>
    </row>
    <row r="64" ht="82" customHeight="1">
      <c r="A64" s="20" t="inlineStr">
        <is>
          <t>R062</t>
        </is>
      </c>
      <c r="B64" s="20" t="inlineStr">
        <is>
          <t>Storm Water, Flooding &amp; Lakes</t>
        </is>
      </c>
      <c r="C64" s="20" t="inlineStr">
        <is>
          <t>Rajakaluve encroachment</t>
        </is>
      </c>
      <c r="D64" s="20" t="inlineStr">
        <is>
          <t>storm drain encroached, building on drain, narrowed rajakaluve</t>
        </is>
      </c>
      <c r="E64" s="20" t="inlineStr">
        <is>
          <t>Confirm SWD boundary and land records</t>
        </is>
      </c>
      <c r="F64" s="21" t="inlineStr">
        <is>
          <t>Relevant GBA City Corporation – Storm Water Drain (SWD)</t>
        </is>
      </c>
      <c r="G64" s="21" t="inlineStr">
        <is>
          <t>Relevant GBA City Corporation – Town Planning / Revenue; police if enforcement support required</t>
        </is>
      </c>
      <c r="H64" s="21" t="inlineStr">
        <is>
          <t>Planning/revenue tasks for unauthorized construction or land records</t>
        </is>
      </c>
      <c r="I64" s="20" t="inlineStr">
        <is>
          <t>No</t>
        </is>
      </c>
      <c r="J64" s="22" t="inlineStr">
        <is>
          <t>Sahaaya / municipal encroachment process</t>
        </is>
      </c>
      <c r="K64" s="22" t="inlineStr">
        <is>
          <t>Direct official SWD encroachment scope</t>
        </is>
      </c>
      <c r="L64" s="21" t="inlineStr">
        <is>
          <t>High</t>
        </is>
      </c>
      <c r="M64" s="21" t="inlineStr">
        <is>
          <t>Boundary/title dispute</t>
        </is>
      </c>
      <c r="N64" s="22" t="inlineStr">
        <is>
          <t>S12, S03</t>
        </is>
      </c>
      <c r="O64" s="22" t="inlineStr">
        <is>
          <t>https://site.bbmp.gov.in/encroachment.html
https://sahaaya2.bbmp.gov.in/Grievance/ReviewReport.aspx</t>
        </is>
      </c>
      <c r="P64" s="21" t="inlineStr"/>
    </row>
    <row r="65" ht="82" customHeight="1">
      <c r="A65" s="15" t="inlineStr">
        <is>
          <t>R063</t>
        </is>
      </c>
      <c r="B65" s="15" t="inlineStr">
        <is>
          <t>Storm Water, Flooding &amp; Lakes</t>
        </is>
      </c>
      <c r="C65" s="15" t="inlineStr">
        <is>
          <t>Flooding caused by construction debris in drain</t>
        </is>
      </c>
      <c r="D65" s="15" t="inlineStr">
        <is>
          <t>debris blocking drain, cement dumped in drain</t>
        </is>
      </c>
      <c r="E65" s="15" t="inlineStr">
        <is>
          <t>Identify dumper/project owner</t>
        </is>
      </c>
      <c r="F65" s="16" t="inlineStr">
        <is>
          <t>Relevant GBA City Corporation – Storm Water Drain (SWD)</t>
        </is>
      </c>
      <c r="G65" s="17" t="inlineStr">
        <is>
          <t>BSWML / Relevant GBA City Corporation – Solid Waste Management; project owner</t>
        </is>
      </c>
      <c r="H65" s="17" t="inlineStr">
        <is>
          <t>SWM/C&amp;D removal and enforcement task; project owner bears corrective work</t>
        </is>
      </c>
      <c r="I65" s="18" t="inlineStr">
        <is>
          <t>Conditional</t>
        </is>
      </c>
      <c r="J65" s="19" t="inlineStr">
        <is>
          <t>Sahaaya</t>
        </is>
      </c>
      <c r="K65" s="19" t="inlineStr">
        <is>
          <t>SWD + SWM routing inference</t>
        </is>
      </c>
      <c r="L65" s="17" t="inlineStr">
        <is>
          <t>High</t>
        </is>
      </c>
      <c r="M65" s="17" t="inlineStr">
        <is>
          <t>Active emergency flooding</t>
        </is>
      </c>
      <c r="N65" s="19" t="inlineStr">
        <is>
          <t>S09, S12</t>
        </is>
      </c>
      <c r="O65" s="19" t="inlineStr">
        <is>
          <t>https://site.bbmp.gov.in/departmentwebsites/swm/
https://site.bbmp.gov.in/encroachment.html</t>
        </is>
      </c>
      <c r="P65" s="17" t="inlineStr"/>
    </row>
    <row r="66" ht="82" customHeight="1">
      <c r="A66" s="20" t="inlineStr">
        <is>
          <t>R064</t>
        </is>
      </c>
      <c r="B66" s="20" t="inlineStr">
        <is>
          <t>Storm Water, Flooding &amp; Lakes</t>
        </is>
      </c>
      <c r="C66" s="20" t="inlineStr">
        <is>
          <t>Mosquito breeding in stagnant public water</t>
        </is>
      </c>
      <c r="D66" s="20" t="inlineStr">
        <is>
          <t>stagnant water, mosquito larvae, dengue risk</t>
        </is>
      </c>
      <c r="E66" s="20" t="inlineStr">
        <is>
          <t>Identify source: SWD, sewer, construction site, park or private property</t>
        </is>
      </c>
      <c r="F66" s="21" t="inlineStr">
        <is>
          <t>Relevant GBA City Corporation – Health</t>
        </is>
      </c>
      <c r="G66" s="21" t="inlineStr">
        <is>
          <t>Cause owner: SWD, BWSSB, Engineering, Horticulture or private-property enforcement</t>
        </is>
      </c>
      <c r="H66" s="21" t="inlineStr">
        <is>
          <t>Linked source-removal task is required</t>
        </is>
      </c>
      <c r="I66" s="18" t="inlineStr">
        <is>
          <t>Conditional</t>
        </is>
      </c>
      <c r="J66" s="22" t="inlineStr">
        <is>
          <t>Sahaaya / health complaint</t>
        </is>
      </c>
      <c r="K66" s="22" t="inlineStr">
        <is>
          <t>Health category + cause-based co-routing</t>
        </is>
      </c>
      <c r="L66" s="21" t="inlineStr">
        <is>
          <t>High</t>
        </is>
      </c>
      <c r="M66" s="21" t="inlineStr">
        <is>
          <t>Private property/access issue</t>
        </is>
      </c>
      <c r="N66" s="22" t="inlineStr">
        <is>
          <t>S03, S12, S13</t>
        </is>
      </c>
      <c r="O66" s="22" t="inlineStr">
        <is>
          <t>https://sahaaya2.bbmp.gov.in/Grievance/ReviewReport.aspx
https://site.bbmp.gov.in/encroachment.html
https://bwssb.karnataka.gov.in/31/About%20BWSSB/en</t>
        </is>
      </c>
      <c r="P66" s="21" t="inlineStr"/>
    </row>
    <row r="67" ht="82" customHeight="1">
      <c r="A67" s="15" t="inlineStr">
        <is>
          <t>R065</t>
        </is>
      </c>
      <c r="B67" s="15" t="inlineStr">
        <is>
          <t>Storm Water, Flooding &amp; Lakes</t>
        </is>
      </c>
      <c r="C67" s="15" t="inlineStr">
        <is>
          <t>Lake encroachment</t>
        </is>
      </c>
      <c r="D67" s="15" t="inlineStr">
        <is>
          <t>construction in lake, lake boundary occupied</t>
        </is>
      </c>
      <c r="E67" s="15" t="inlineStr">
        <is>
          <t>Mandatory lake-custodian and survey/land-record lookup</t>
        </is>
      </c>
      <c r="F67" s="16" t="inlineStr">
        <is>
          <t>Relevant lake custodian – municipal Lakes unit when in municipal custody</t>
        </is>
      </c>
      <c r="G67" s="17" t="inlineStr">
        <is>
          <t>GBA Town Planning/Revenue; police/enforcement support</t>
        </is>
      </c>
      <c r="H67" s="17" t="inlineStr">
        <is>
          <t>Use municipal Lakes only if the lake is in municipal custody; otherwise route to BDA/Forest/BMRCL/other custodian</t>
        </is>
      </c>
      <c r="I67" s="27" t="inlineStr">
        <is>
          <t>No</t>
        </is>
      </c>
      <c r="J67" s="19" t="inlineStr">
        <is>
          <t>Lake custodian / Sahaaya</t>
        </is>
      </c>
      <c r="K67" s="19" t="inlineStr">
        <is>
          <t>Direct lake function with custody caveat</t>
        </is>
      </c>
      <c r="L67" s="17" t="inlineStr">
        <is>
          <t>High</t>
        </is>
      </c>
      <c r="M67" s="17" t="inlineStr">
        <is>
          <t>Lake custodian or boundary unclear</t>
        </is>
      </c>
      <c r="N67" s="19" t="inlineStr">
        <is>
          <t>S10, S11</t>
        </is>
      </c>
      <c r="O67" s="19" t="inlineStr">
        <is>
          <t>https://site.bbmp.gov.in/departmentwebsites/lakes/Activities.html
https://site.bbmp.gov.in/departmentwebsites/Lakes/Abstract.html</t>
        </is>
      </c>
      <c r="P67" s="17" t="inlineStr"/>
    </row>
    <row r="68" ht="82" customHeight="1">
      <c r="A68" s="20" t="inlineStr">
        <is>
          <t>R066</t>
        </is>
      </c>
      <c r="B68" s="20" t="inlineStr">
        <is>
          <t>Storm Water, Flooding &amp; Lakes</t>
        </is>
      </c>
      <c r="C68" s="20" t="inlineStr">
        <is>
          <t>Garbage dumped in lake</t>
        </is>
      </c>
      <c r="D68" s="20" t="inlineStr">
        <is>
          <t>trash in lake, plastic in waterbody</t>
        </is>
      </c>
      <c r="E68" s="20" t="inlineStr">
        <is>
          <t>Identify lake custodian</t>
        </is>
      </c>
      <c r="F68" s="21" t="inlineStr">
        <is>
          <t>Relevant lake custodian – municipal Lakes unit when in municipal custody</t>
        </is>
      </c>
      <c r="G68" s="21" t="inlineStr">
        <is>
          <t>BSWML / Relevant GBA City Corporation – Solid Waste Management</t>
        </is>
      </c>
      <c r="H68" s="21" t="inlineStr">
        <is>
          <t>Custodian handles lake remediation; SWM handles collection/enforcement against dumping</t>
        </is>
      </c>
      <c r="I68" s="20" t="inlineStr">
        <is>
          <t>No</t>
        </is>
      </c>
      <c r="J68" s="22" t="inlineStr">
        <is>
          <t>Lake custodian + Sahaaya</t>
        </is>
      </c>
      <c r="K68" s="22" t="inlineStr">
        <is>
          <t>Official lake/SWM scopes + co-routing inference</t>
        </is>
      </c>
      <c r="L68" s="21" t="inlineStr">
        <is>
          <t>High</t>
        </is>
      </c>
      <c r="M68" s="21" t="inlineStr">
        <is>
          <t>Industrial/hazardous waste suspected</t>
        </is>
      </c>
      <c r="N68" s="22" t="inlineStr">
        <is>
          <t>S09, S10, S11</t>
        </is>
      </c>
      <c r="O68" s="22" t="inlineStr">
        <is>
          <t>https://site.bbmp.gov.in/departmentwebsites/swm/
https://site.bbmp.gov.in/departmentwebsites/lakes/Activities.html
https://site.bbmp.gov.in/departmentwebsites/Lakes/Abstract.html</t>
        </is>
      </c>
      <c r="P68" s="21" t="inlineStr"/>
    </row>
    <row r="69" ht="82" customHeight="1">
      <c r="A69" s="24" t="inlineStr">
        <is>
          <t>R067</t>
        </is>
      </c>
      <c r="B69" s="24" t="inlineStr">
        <is>
          <t>Storm Water, Flooding &amp; Lakes</t>
        </is>
      </c>
      <c r="C69" s="24" t="inlineStr">
        <is>
          <t>Chemical, oil or industrial pollution in lake</t>
        </is>
      </c>
      <c r="D69" s="24" t="inlineStr">
        <is>
          <t>chemical smell, oil layer, coloured water, factory discharge</t>
        </is>
      </c>
      <c r="E69" s="24" t="inlineStr">
        <is>
          <t>Identify lake custodian and suspected source</t>
        </is>
      </c>
      <c r="F69" s="25" t="inlineStr">
        <is>
          <t>Karnataka State Pollution Control Board (KSPCB)</t>
        </is>
      </c>
      <c r="G69" s="25" t="inlineStr">
        <is>
          <t>Relevant lake custodian – municipal Lakes unit when in municipal custody</t>
        </is>
      </c>
      <c r="H69" s="25" t="inlineStr">
        <is>
          <t>Custodian handles containment/restoration; BWSSB if sewage source; Fire/112 for active hazardous spill</t>
        </is>
      </c>
      <c r="I69" s="23" t="inlineStr">
        <is>
          <t>Yes</t>
        </is>
      </c>
      <c r="J69" s="26" t="inlineStr">
        <is>
          <t>KSPCB; 112 for acute hazard</t>
        </is>
      </c>
      <c r="K69" s="26" t="inlineStr">
        <is>
          <t>Direct environmental complaint scope + emergency inference</t>
        </is>
      </c>
      <c r="L69" s="25" t="inlineStr">
        <is>
          <t>High</t>
        </is>
      </c>
      <c r="M69" s="25" t="inlineStr">
        <is>
          <t>Substance/source unknown</t>
        </is>
      </c>
      <c r="N69" s="26" t="inlineStr">
        <is>
          <t>S10, S23, S24</t>
        </is>
      </c>
      <c r="O69" s="26" t="inlineStr">
        <is>
          <t>https://site.bbmp.gov.in/departmentwebsites/lakes/Activities.html
https://kspcb.karnataka.gov.in/contact-us-0
https://ksfes.karnataka.gov.in/en</t>
        </is>
      </c>
      <c r="P69" s="25" t="inlineStr"/>
    </row>
    <row r="70" ht="82" customHeight="1">
      <c r="A70" s="20" t="inlineStr">
        <is>
          <t>R068</t>
        </is>
      </c>
      <c r="B70" s="20" t="inlineStr">
        <is>
          <t>Storm Water, Flooding &amp; Lakes</t>
        </is>
      </c>
      <c r="C70" s="20" t="inlineStr">
        <is>
          <t>Damaged lake bund, fence, pathway or public amenity</t>
        </is>
      </c>
      <c r="D70" s="20" t="inlineStr">
        <is>
          <t>broken fence, bund crack, lake path damaged</t>
        </is>
      </c>
      <c r="E70" s="20" t="inlineStr">
        <is>
          <t>Identify lake custodian</t>
        </is>
      </c>
      <c r="F70" s="21" t="inlineStr">
        <is>
          <t>Relevant lake custodian – municipal Lakes unit when in municipal custody</t>
        </is>
      </c>
      <c r="G70" s="21" t="inlineStr">
        <is>
          <t>Relevant GBA City Corporation – Engineering / Road Infrastructure</t>
        </is>
      </c>
      <c r="H70" s="21" t="inlineStr">
        <is>
          <t>Engineering support if civil structure is managed centrally or impacts public road</t>
        </is>
      </c>
      <c r="I70" s="18" t="inlineStr">
        <is>
          <t>Conditional</t>
        </is>
      </c>
      <c r="J70" s="22" t="inlineStr">
        <is>
          <t>Lake custodian / Sahaaya</t>
        </is>
      </c>
      <c r="K70" s="22" t="inlineStr">
        <is>
          <t>Direct custodian-first routing</t>
        </is>
      </c>
      <c r="L70" s="21" t="inlineStr">
        <is>
          <t>High</t>
        </is>
      </c>
      <c r="M70" s="21" t="inlineStr">
        <is>
          <t>Lake not in municipal custody</t>
        </is>
      </c>
      <c r="N70" s="22" t="inlineStr">
        <is>
          <t>S10, S11</t>
        </is>
      </c>
      <c r="O70" s="22" t="inlineStr">
        <is>
          <t>https://site.bbmp.gov.in/departmentwebsites/lakes/Activities.html
https://site.bbmp.gov.in/departmentwebsites/Lakes/Abstract.html</t>
        </is>
      </c>
      <c r="P70" s="21" t="inlineStr"/>
    </row>
    <row r="71" ht="82" customHeight="1">
      <c r="A71" s="15" t="inlineStr">
        <is>
          <t>R069</t>
        </is>
      </c>
      <c r="B71" s="15" t="inlineStr">
        <is>
          <t>Storm Water, Flooding &amp; Lakes</t>
        </is>
      </c>
      <c r="C71" s="15" t="inlineStr">
        <is>
          <t>Dead fish, foam or severe odour in lake</t>
        </is>
      </c>
      <c r="D71" s="15" t="inlineStr">
        <is>
          <t>fish kill, foam, foul smell</t>
        </is>
      </c>
      <c r="E71" s="15" t="inlineStr">
        <is>
          <t>Identify lake custodian and collect pollution evidence</t>
        </is>
      </c>
      <c r="F71" s="16" t="inlineStr">
        <is>
          <t>Karnataka State Pollution Control Board (KSPCB)</t>
        </is>
      </c>
      <c r="G71" s="17" t="inlineStr">
        <is>
          <t>Relevant lake custodian – municipal Lakes unit when in municipal custody; BWSSB</t>
        </is>
      </c>
      <c r="H71" s="17" t="inlineStr">
        <is>
          <t>Lake custodian for response; BWSSB if sewage inflow is suspected</t>
        </is>
      </c>
      <c r="I71" s="18" t="inlineStr">
        <is>
          <t>Conditional</t>
        </is>
      </c>
      <c r="J71" s="19" t="inlineStr">
        <is>
          <t>KSPCB + lake custodian</t>
        </is>
      </c>
      <c r="K71" s="19" t="inlineStr">
        <is>
          <t>Environmental + lake/sewage scope</t>
        </is>
      </c>
      <c r="L71" s="17" t="inlineStr">
        <is>
          <t>High</t>
        </is>
      </c>
      <c r="M71" s="17" t="inlineStr">
        <is>
          <t>Natural event vs pollution requires investigation</t>
        </is>
      </c>
      <c r="N71" s="19" t="inlineStr">
        <is>
          <t>S10, S13, S23</t>
        </is>
      </c>
      <c r="O71" s="19" t="inlineStr">
        <is>
          <t>https://site.bbmp.gov.in/departmentwebsites/lakes/Activities.html
https://bwssb.karnataka.gov.in/31/About%20BWSSB/en
https://kspcb.karnataka.gov.in/contact-us-0</t>
        </is>
      </c>
      <c r="P71" s="17" t="inlineStr"/>
    </row>
    <row r="72" ht="82" customHeight="1">
      <c r="A72" s="20" t="inlineStr">
        <is>
          <t>R070</t>
        </is>
      </c>
      <c r="B72" s="20" t="inlineStr">
        <is>
          <t>Storm Water, Flooding &amp; Lakes</t>
        </is>
      </c>
      <c r="C72" s="20" t="inlineStr">
        <is>
          <t>Lake overflow causing neighbourhood flooding</t>
        </is>
      </c>
      <c r="D72" s="20" t="inlineStr">
        <is>
          <t>lake overflow, bund overtopping, nearby roads flooded</t>
        </is>
      </c>
      <c r="E72" s="20" t="inlineStr">
        <is>
          <t>Identify lake custodian and connected SWD system</t>
        </is>
      </c>
      <c r="F72" s="21" t="inlineStr">
        <is>
          <t>Relevant lake custodian – municipal Lakes unit when in municipal custody</t>
        </is>
      </c>
      <c r="G72" s="21" t="inlineStr">
        <is>
          <t>Relevant GBA City Corporation – Storm Water Drain (SWD); BTP; Fire/112</t>
        </is>
      </c>
      <c r="H72" s="21" t="inlineStr">
        <is>
          <t>SWD manages connected drains; BTP closes roads; Fire/112 handles rescue</t>
        </is>
      </c>
      <c r="I72" s="23" t="inlineStr">
        <is>
          <t>Yes</t>
        </is>
      </c>
      <c r="J72" s="22" t="inlineStr">
        <is>
          <t>112 for danger; Sahaaya/lake custodian</t>
        </is>
      </c>
      <c r="K72" s="22" t="inlineStr">
        <is>
          <t>Lake/SWD interconnection + emergency routing</t>
        </is>
      </c>
      <c r="L72" s="21" t="inlineStr">
        <is>
          <t>High</t>
        </is>
      </c>
      <c r="M72" s="21" t="inlineStr">
        <is>
          <t>Lake custodian unclear</t>
        </is>
      </c>
      <c r="N72" s="22" t="inlineStr">
        <is>
          <t>S10, S12, S18, S24</t>
        </is>
      </c>
      <c r="O72" s="22" t="inlineStr">
        <is>
          <t>https://site.bbmp.gov.in/departmentwebsites/lakes/Activities.html
https://site.bbmp.gov.in/encroachment.html
https://btp.karnataka.gov.in/tmc/en
https://ksfes.karnataka.gov.in/en</t>
        </is>
      </c>
      <c r="P72" s="21" t="inlineStr"/>
    </row>
    <row r="73" ht="82" customHeight="1">
      <c r="A73" s="15" t="inlineStr">
        <is>
          <t>R071</t>
        </is>
      </c>
      <c r="B73" s="15" t="inlineStr">
        <is>
          <t>Storm Water, Flooding &amp; Lakes</t>
        </is>
      </c>
      <c r="C73" s="15" t="inlineStr">
        <is>
          <t>Drain desilting request</t>
        </is>
      </c>
      <c r="D73" s="15" t="inlineStr">
        <is>
          <t>silted drain, desilting needed, drain capacity reduced</t>
        </is>
      </c>
      <c r="E73" s="15" t="inlineStr">
        <is>
          <t>Confirm SWD asset</t>
        </is>
      </c>
      <c r="F73" s="16" t="inlineStr">
        <is>
          <t>Relevant GBA City Corporation – Storm Water Drain (SWD)</t>
        </is>
      </c>
      <c r="G73" s="17" t="inlineStr">
        <is>
          <t>BSWML / Relevant GBA City Corporation – Solid Waste Management</t>
        </is>
      </c>
      <c r="H73" s="17" t="inlineStr">
        <is>
          <t>SWM only when solid waste is a material contributor</t>
        </is>
      </c>
      <c r="I73" s="27" t="inlineStr">
        <is>
          <t>No</t>
        </is>
      </c>
      <c r="J73" s="19" t="inlineStr">
        <is>
          <t>Sahaaya / 1533</t>
        </is>
      </c>
      <c r="K73" s="19" t="inlineStr">
        <is>
          <t>Official SWD category + inference</t>
        </is>
      </c>
      <c r="L73" s="17" t="inlineStr">
        <is>
          <t>High</t>
        </is>
      </c>
      <c r="M73" s="17" t="inlineStr">
        <is>
          <t>Sewer rather than SWD</t>
        </is>
      </c>
      <c r="N73" s="19" t="inlineStr">
        <is>
          <t>S03, S09, S12</t>
        </is>
      </c>
      <c r="O73" s="19" t="inlineStr">
        <is>
          <t>https://sahaaya2.bbmp.gov.in/Grievance/ReviewReport.aspx
https://site.bbmp.gov.in/departmentwebsites/swm/
https://site.bbmp.gov.in/encroachment.html</t>
        </is>
      </c>
      <c r="P73" s="17" t="inlineStr"/>
    </row>
    <row r="74" ht="82" customHeight="1">
      <c r="A74" s="20" t="inlineStr">
        <is>
          <t>R072</t>
        </is>
      </c>
      <c r="B74" s="20" t="inlineStr">
        <is>
          <t>Solid Waste &amp; Sanitation</t>
        </is>
      </c>
      <c r="C74" s="20" t="inlineStr">
        <is>
          <t>Missed doorstep garbage collection</t>
        </is>
      </c>
      <c r="D74" s="20" t="inlineStr">
        <is>
          <t>garbage vehicle not came, waste not collected</t>
        </is>
      </c>
      <c r="E74" s="20" t="inlineStr">
        <is>
          <t>Confirm municipal collection zone/contract</t>
        </is>
      </c>
      <c r="F74" s="21" t="inlineStr">
        <is>
          <t>BSWML / Relevant GBA City Corporation – Solid Waste Management</t>
        </is>
      </c>
      <c r="G74" s="21" t="inlineStr">
        <is>
          <t>None</t>
        </is>
      </c>
      <c r="H74" s="21" t="inlineStr">
        <is>
          <t>Single-department service issue</t>
        </is>
      </c>
      <c r="I74" s="20" t="inlineStr">
        <is>
          <t>No</t>
        </is>
      </c>
      <c r="J74" s="22" t="inlineStr">
        <is>
          <t>Sahaaya / 1533</t>
        </is>
      </c>
      <c r="K74" s="22" t="inlineStr">
        <is>
          <t>Direct official SWM scope</t>
        </is>
      </c>
      <c r="L74" s="21" t="inlineStr">
        <is>
          <t>High</t>
        </is>
      </c>
      <c r="M74" s="21" t="inlineStr">
        <is>
          <t>Bulk generator/private collection contract</t>
        </is>
      </c>
      <c r="N74" s="22" t="inlineStr">
        <is>
          <t>S09, S03</t>
        </is>
      </c>
      <c r="O74" s="22" t="inlineStr">
        <is>
          <t>https://site.bbmp.gov.in/departmentwebsites/swm/
https://sahaaya2.bbmp.gov.in/Grievance/ReviewReport.aspx</t>
        </is>
      </c>
      <c r="P74" s="21" t="inlineStr"/>
    </row>
    <row r="75" ht="82" customHeight="1">
      <c r="A75" s="15" t="inlineStr">
        <is>
          <t>R073</t>
        </is>
      </c>
      <c r="B75" s="15" t="inlineStr">
        <is>
          <t>Solid Waste &amp; Sanitation</t>
        </is>
      </c>
      <c r="C75" s="15" t="inlineStr">
        <is>
          <t>Garbage black spot or illegal dumping</t>
        </is>
      </c>
      <c r="D75" s="15" t="inlineStr">
        <is>
          <t>garbage pile, roadside dump, repeated dumping</t>
        </is>
      </c>
      <c r="E75" s="15" t="inlineStr">
        <is>
          <t>Confirm public land/road owner</t>
        </is>
      </c>
      <c r="F75" s="16" t="inlineStr">
        <is>
          <t>BSWML / Relevant GBA City Corporation – Solid Waste Management</t>
        </is>
      </c>
      <c r="G75" s="17" t="inlineStr">
        <is>
          <t>GBA Engineering/Estate; BTP</t>
        </is>
      </c>
      <c r="H75" s="17" t="inlineStr">
        <is>
          <t>Engineering/Estate if physical redesign/encroachment is needed; BTP if dump obstructs traffic</t>
        </is>
      </c>
      <c r="I75" s="18" t="inlineStr">
        <is>
          <t>Conditional</t>
        </is>
      </c>
      <c r="J75" s="19" t="inlineStr">
        <is>
          <t>Sahaaya / 1533</t>
        </is>
      </c>
      <c r="K75" s="19" t="inlineStr">
        <is>
          <t>Direct SWM scope + conditional co-routing</t>
        </is>
      </c>
      <c r="L75" s="17" t="inlineStr">
        <is>
          <t>High</t>
        </is>
      </c>
      <c r="M75" s="17" t="inlineStr">
        <is>
          <t>Hazardous/biomedical waste</t>
        </is>
      </c>
      <c r="N75" s="19" t="inlineStr">
        <is>
          <t>S09, S18</t>
        </is>
      </c>
      <c r="O75" s="19" t="inlineStr">
        <is>
          <t>https://site.bbmp.gov.in/departmentwebsites/swm/
https://btp.karnataka.gov.in/tmc/en</t>
        </is>
      </c>
      <c r="P75" s="17" t="inlineStr"/>
    </row>
    <row r="76" ht="82" customHeight="1">
      <c r="A76" s="20" t="inlineStr">
        <is>
          <t>R074</t>
        </is>
      </c>
      <c r="B76" s="20" t="inlineStr">
        <is>
          <t>Solid Waste &amp; Sanitation</t>
        </is>
      </c>
      <c r="C76" s="20" t="inlineStr">
        <is>
          <t>Wet and dry waste mixed during collection</t>
        </is>
      </c>
      <c r="D76" s="20" t="inlineStr">
        <is>
          <t>segregated waste mixed, collector mixes waste</t>
        </is>
      </c>
      <c r="E76" s="20" t="inlineStr">
        <is>
          <t>Confirm municipal collection service</t>
        </is>
      </c>
      <c r="F76" s="21" t="inlineStr">
        <is>
          <t>BSWML / Relevant GBA City Corporation – Solid Waste Management</t>
        </is>
      </c>
      <c r="G76" s="21" t="inlineStr">
        <is>
          <t>None</t>
        </is>
      </c>
      <c r="H76" s="21" t="inlineStr">
        <is>
          <t>Single-department operational complaint</t>
        </is>
      </c>
      <c r="I76" s="20" t="inlineStr">
        <is>
          <t>No</t>
        </is>
      </c>
      <c r="J76" s="22" t="inlineStr">
        <is>
          <t>Sahaaya / SWM complaint</t>
        </is>
      </c>
      <c r="K76" s="22" t="inlineStr">
        <is>
          <t>Direct official SWM scope</t>
        </is>
      </c>
      <c r="L76" s="21" t="inlineStr">
        <is>
          <t>High</t>
        </is>
      </c>
      <c r="M76" s="21" t="inlineStr">
        <is>
          <t>Private apartment contractor</t>
        </is>
      </c>
      <c r="N76" s="22" t="inlineStr">
        <is>
          <t>S09</t>
        </is>
      </c>
      <c r="O76" s="22" t="inlineStr">
        <is>
          <t>https://site.bbmp.gov.in/departmentwebsites/swm/</t>
        </is>
      </c>
      <c r="P76" s="21" t="inlineStr"/>
    </row>
    <row r="77" ht="82" customHeight="1">
      <c r="A77" s="15" t="inlineStr">
        <is>
          <t>R075</t>
        </is>
      </c>
      <c r="B77" s="15" t="inlineStr">
        <is>
          <t>Solid Waste &amp; Sanitation</t>
        </is>
      </c>
      <c r="C77" s="15" t="inlineStr">
        <is>
          <t>Street sweeping not done</t>
        </is>
      </c>
      <c r="D77" s="15" t="inlineStr">
        <is>
          <t>road not swept, dust and litter</t>
        </is>
      </c>
      <c r="E77" s="15" t="inlineStr">
        <is>
          <t>Confirm municipal road/area</t>
        </is>
      </c>
      <c r="F77" s="16" t="inlineStr">
        <is>
          <t>BSWML / Relevant GBA City Corporation – Solid Waste Management</t>
        </is>
      </c>
      <c r="G77" s="17" t="inlineStr">
        <is>
          <t>GBA Engineering</t>
        </is>
      </c>
      <c r="H77" s="17" t="inlineStr">
        <is>
          <t>Engineering only if unpaved/damaged surface makes cleaning impossible</t>
        </is>
      </c>
      <c r="I77" s="27" t="inlineStr">
        <is>
          <t>No</t>
        </is>
      </c>
      <c r="J77" s="19" t="inlineStr">
        <is>
          <t>Sahaaya / 1533</t>
        </is>
      </c>
      <c r="K77" s="19" t="inlineStr">
        <is>
          <t>Direct official SWM scope</t>
        </is>
      </c>
      <c r="L77" s="17" t="inlineStr">
        <is>
          <t>High</t>
        </is>
      </c>
      <c r="M77" s="17" t="inlineStr">
        <is>
          <t>Private road/layout</t>
        </is>
      </c>
      <c r="N77" s="19" t="inlineStr">
        <is>
          <t>S09</t>
        </is>
      </c>
      <c r="O77" s="19" t="inlineStr">
        <is>
          <t>https://site.bbmp.gov.in/departmentwebsites/swm/</t>
        </is>
      </c>
      <c r="P77" s="17" t="inlineStr"/>
    </row>
    <row r="78" ht="82" customHeight="1">
      <c r="A78" s="20" t="inlineStr">
        <is>
          <t>R076</t>
        </is>
      </c>
      <c r="B78" s="20" t="inlineStr">
        <is>
          <t>Solid Waste &amp; Sanitation</t>
        </is>
      </c>
      <c r="C78" s="20" t="inlineStr">
        <is>
          <t>Litter in a public place</t>
        </is>
      </c>
      <c r="D78" s="20" t="inlineStr">
        <is>
          <t>public area dirty, littered footpath</t>
        </is>
      </c>
      <c r="E78" s="20" t="inlineStr">
        <is>
          <t>Confirm public asset owner</t>
        </is>
      </c>
      <c r="F78" s="21" t="inlineStr">
        <is>
          <t>BSWML / Relevant GBA City Corporation – Solid Waste Management</t>
        </is>
      </c>
      <c r="G78" s="21" t="inlineStr">
        <is>
          <t>Asset custodian: Parks, Markets, BMTC, BMRCL, etc.</t>
        </is>
      </c>
      <c r="H78" s="21" t="inlineStr">
        <is>
          <t>Use custodian when inside a specialized facility; SWM may support collection</t>
        </is>
      </c>
      <c r="I78" s="20" t="inlineStr">
        <is>
          <t>No</t>
        </is>
      </c>
      <c r="J78" s="22" t="inlineStr">
        <is>
          <t>Sahaaya / facility complaint</t>
        </is>
      </c>
      <c r="K78" s="22" t="inlineStr">
        <is>
          <t>Custodian-first + SWM inference</t>
        </is>
      </c>
      <c r="L78" s="21" t="inlineStr">
        <is>
          <t>Medium</t>
        </is>
      </c>
      <c r="M78" s="21" t="inlineStr">
        <is>
          <t>Facility ownership unclear</t>
        </is>
      </c>
      <c r="N78" s="22" t="inlineStr">
        <is>
          <t>S09, S19, S20</t>
        </is>
      </c>
      <c r="O78" s="22" t="inlineStr">
        <is>
          <t>https://site.bbmp.gov.in/departmentwebsites/swm/
https://english.bmrc.co.in/contact/
https://mybmtc.karnataka.gov.in/10/complaints/en</t>
        </is>
      </c>
      <c r="P78" s="21" t="inlineStr"/>
    </row>
    <row r="79" ht="82" customHeight="1">
      <c r="A79" s="15" t="inlineStr">
        <is>
          <t>R077</t>
        </is>
      </c>
      <c r="B79" s="15" t="inlineStr">
        <is>
          <t>Solid Waste &amp; Sanitation</t>
        </is>
      </c>
      <c r="C79" s="15" t="inlineStr">
        <is>
          <t>Construction and demolition waste dumping</t>
        </is>
      </c>
      <c r="D79" s="15" t="inlineStr">
        <is>
          <t>C&amp;D waste, rubble, bricks, concrete dumped</t>
        </is>
      </c>
      <c r="E79" s="15" t="inlineStr">
        <is>
          <t>Confirm public land/road and source</t>
        </is>
      </c>
      <c r="F79" s="16" t="inlineStr">
        <is>
          <t>BSWML / Relevant GBA City Corporation – Solid Waste Management</t>
        </is>
      </c>
      <c r="G79" s="17" t="inlineStr">
        <is>
          <t>GBA Engineering/Town Planning; BTP</t>
        </is>
      </c>
      <c r="H79" s="17" t="inlineStr">
        <is>
          <t>Engineering/planning for project/site enforcement; BTP if road obstruction</t>
        </is>
      </c>
      <c r="I79" s="18" t="inlineStr">
        <is>
          <t>Conditional</t>
        </is>
      </c>
      <c r="J79" s="19" t="inlineStr">
        <is>
          <t>Sahaaya / 1533</t>
        </is>
      </c>
      <c r="K79" s="19" t="inlineStr">
        <is>
          <t>Direct SWM stream + enforcement inference</t>
        </is>
      </c>
      <c r="L79" s="17" t="inlineStr">
        <is>
          <t>High</t>
        </is>
      </c>
      <c r="M79" s="17" t="inlineStr">
        <is>
          <t>Hazardous material mixed in debris</t>
        </is>
      </c>
      <c r="N79" s="19" t="inlineStr">
        <is>
          <t>S09, S18</t>
        </is>
      </c>
      <c r="O79" s="19" t="inlineStr">
        <is>
          <t>https://site.bbmp.gov.in/departmentwebsites/swm/
https://btp.karnataka.gov.in/tmc/en</t>
        </is>
      </c>
      <c r="P79" s="17" t="inlineStr"/>
    </row>
    <row r="80" ht="82" customHeight="1">
      <c r="A80" s="20" t="inlineStr">
        <is>
          <t>R078</t>
        </is>
      </c>
      <c r="B80" s="20" t="inlineStr">
        <is>
          <t>Solid Waste &amp; Sanitation</t>
        </is>
      </c>
      <c r="C80" s="20" t="inlineStr">
        <is>
          <t>Bulk waste generator non-compliance</t>
        </is>
      </c>
      <c r="D80" s="20" t="inlineStr">
        <is>
          <t>hotel/apartment bulk waste, large generator not managing waste</t>
        </is>
      </c>
      <c r="E80" s="20" t="inlineStr">
        <is>
          <t>Confirm generator and municipal rules</t>
        </is>
      </c>
      <c r="F80" s="21" t="inlineStr">
        <is>
          <t>BSWML / Relevant GBA City Corporation – Solid Waste Management</t>
        </is>
      </c>
      <c r="G80" s="21" t="inlineStr">
        <is>
          <t>Relevant GBA City Corporation – Health</t>
        </is>
      </c>
      <c r="H80" s="21" t="inlineStr">
        <is>
          <t>Health/trade-license unit when sanitation or establishment compliance is involved</t>
        </is>
      </c>
      <c r="I80" s="20" t="inlineStr">
        <is>
          <t>No</t>
        </is>
      </c>
      <c r="J80" s="22" t="inlineStr">
        <is>
          <t>Sahaaya / SWM complaint</t>
        </is>
      </c>
      <c r="K80" s="22" t="inlineStr">
        <is>
          <t>SWM + health enforcement inference</t>
        </is>
      </c>
      <c r="L80" s="21" t="inlineStr">
        <is>
          <t>Medium</t>
        </is>
      </c>
      <c r="M80" s="21" t="inlineStr">
        <is>
          <t>Legal threshold/rule requires validation</t>
        </is>
      </c>
      <c r="N80" s="22" t="inlineStr">
        <is>
          <t>S09, S03</t>
        </is>
      </c>
      <c r="O80" s="22" t="inlineStr">
        <is>
          <t>https://site.bbmp.gov.in/departmentwebsites/swm/
https://sahaaya2.bbmp.gov.in/Grievance/ReviewReport.aspx</t>
        </is>
      </c>
      <c r="P80" s="21" t="inlineStr"/>
    </row>
    <row r="81" ht="82" customHeight="1">
      <c r="A81" s="15" t="inlineStr">
        <is>
          <t>R079</t>
        </is>
      </c>
      <c r="B81" s="15" t="inlineStr">
        <is>
          <t>Solid Waste &amp; Sanitation</t>
        </is>
      </c>
      <c r="C81" s="15" t="inlineStr">
        <is>
          <t>Domestic hazardous or sanitary waste mishandled</t>
        </is>
      </c>
      <c r="D81" s="15" t="inlineStr">
        <is>
          <t>diapers, sanitary waste, blades, household hazardous waste</t>
        </is>
      </c>
      <c r="E81" s="15" t="inlineStr">
        <is>
          <t>Confirm municipal collection service</t>
        </is>
      </c>
      <c r="F81" s="16" t="inlineStr">
        <is>
          <t>BSWML / Relevant GBA City Corporation – Solid Waste Management</t>
        </is>
      </c>
      <c r="G81" s="17" t="inlineStr">
        <is>
          <t>Relevant GBA City Corporation – Health</t>
        </is>
      </c>
      <c r="H81" s="17" t="inlineStr">
        <is>
          <t>Health only for exposure/public-health incident</t>
        </is>
      </c>
      <c r="I81" s="18" t="inlineStr">
        <is>
          <t>Conditional</t>
        </is>
      </c>
      <c r="J81" s="19" t="inlineStr">
        <is>
          <t>Sahaaya / SWM complaint</t>
        </is>
      </c>
      <c r="K81" s="19" t="inlineStr">
        <is>
          <t>Direct SWM waste stream + health inference</t>
        </is>
      </c>
      <c r="L81" s="17" t="inlineStr">
        <is>
          <t>High</t>
        </is>
      </c>
      <c r="M81" s="17" t="inlineStr">
        <is>
          <t>Biomedical/industrial waste</t>
        </is>
      </c>
      <c r="N81" s="19" t="inlineStr">
        <is>
          <t>S09, S23</t>
        </is>
      </c>
      <c r="O81" s="19" t="inlineStr">
        <is>
          <t>https://site.bbmp.gov.in/departmentwebsites/swm/
https://kspcb.karnataka.gov.in/contact-us-0</t>
        </is>
      </c>
      <c r="P81" s="17" t="inlineStr"/>
    </row>
    <row r="82" ht="82" customHeight="1">
      <c r="A82" s="20" t="inlineStr">
        <is>
          <t>R080</t>
        </is>
      </c>
      <c r="B82" s="20" t="inlineStr">
        <is>
          <t>Solid Waste &amp; Sanitation</t>
        </is>
      </c>
      <c r="C82" s="20" t="inlineStr">
        <is>
          <t>Dead animal carcass in public place</t>
        </is>
      </c>
      <c r="D82" s="20" t="inlineStr">
        <is>
          <t>dead dog, cattle carcass, animal body</t>
        </is>
      </c>
      <c r="E82" s="20" t="inlineStr">
        <is>
          <t>Confirm public location</t>
        </is>
      </c>
      <c r="F82" s="21" t="inlineStr">
        <is>
          <t>BSWML / Relevant GBA City Corporation – Solid Waste Management</t>
        </is>
      </c>
      <c r="G82" s="21" t="inlineStr">
        <is>
          <t>GBA Animal Husbandry; BTP</t>
        </is>
      </c>
      <c r="H82" s="21" t="inlineStr">
        <is>
          <t>Animal Husbandry for animal-related handling/records; BTP if on carriageway</t>
        </is>
      </c>
      <c r="I82" s="18" t="inlineStr">
        <is>
          <t>Conditional</t>
        </is>
      </c>
      <c r="J82" s="22" t="inlineStr">
        <is>
          <t>Sahaaya; 112 only if active road danger</t>
        </is>
      </c>
      <c r="K82" s="22" t="inlineStr">
        <is>
          <t>Official categories + routing inference</t>
        </is>
      </c>
      <c r="L82" s="21" t="inlineStr">
        <is>
          <t>High</t>
        </is>
      </c>
      <c r="M82" s="21" t="inlineStr">
        <is>
          <t>Wildlife/protected species</t>
        </is>
      </c>
      <c r="N82" s="22" t="inlineStr">
        <is>
          <t>S03, S09, S18</t>
        </is>
      </c>
      <c r="O82" s="22" t="inlineStr">
        <is>
          <t>https://sahaaya2.bbmp.gov.in/Grievance/ReviewReport.aspx
https://site.bbmp.gov.in/departmentwebsites/swm/
https://btp.karnataka.gov.in/tmc/en</t>
        </is>
      </c>
      <c r="P82" s="21" t="inlineStr"/>
    </row>
    <row r="83" ht="82" customHeight="1">
      <c r="A83" s="24" t="inlineStr">
        <is>
          <t>R081</t>
        </is>
      </c>
      <c r="B83" s="24" t="inlineStr">
        <is>
          <t>Solid Waste &amp; Sanitation</t>
        </is>
      </c>
      <c r="C83" s="24" t="inlineStr">
        <is>
          <t>Garbage burning or open waste fire</t>
        </is>
      </c>
      <c r="D83" s="24" t="inlineStr">
        <is>
          <t>burning trash, smoke from garbage</t>
        </is>
      </c>
      <c r="E83" s="24" t="inlineStr">
        <is>
          <t>Confirm active fire and location</t>
        </is>
      </c>
      <c r="F83" s="25" t="inlineStr">
        <is>
          <t>BSWML / Relevant GBA City Corporation – Solid Waste Management</t>
        </is>
      </c>
      <c r="G83" s="25" t="inlineStr">
        <is>
          <t>KSPCB; Fire/112</t>
        </is>
      </c>
      <c r="H83" s="25" t="inlineStr">
        <is>
          <t>Fire/112 for active uncontrolled fire; KSPCB for pollution/enforcement</t>
        </is>
      </c>
      <c r="I83" s="23" t="inlineStr">
        <is>
          <t>Yes</t>
        </is>
      </c>
      <c r="J83" s="26" t="inlineStr">
        <is>
          <t>101/112 for active fire; Sahaaya/KSPCB</t>
        </is>
      </c>
      <c r="K83" s="26" t="inlineStr">
        <is>
          <t>SWM + environmental + emergency scopes</t>
        </is>
      </c>
      <c r="L83" s="25" t="inlineStr">
        <is>
          <t>High</t>
        </is>
      </c>
      <c r="M83" s="25" t="inlineStr">
        <is>
          <t>Industrial/hazardous material</t>
        </is>
      </c>
      <c r="N83" s="26" t="inlineStr">
        <is>
          <t>S09, S23, S24</t>
        </is>
      </c>
      <c r="O83" s="26" t="inlineStr">
        <is>
          <t>https://site.bbmp.gov.in/departmentwebsites/swm/
https://kspcb.karnataka.gov.in/contact-us-0
https://ksfes.karnataka.gov.in/en</t>
        </is>
      </c>
      <c r="P83" s="25" t="inlineStr"/>
    </row>
    <row r="84" ht="82" customHeight="1">
      <c r="A84" s="20" t="inlineStr">
        <is>
          <t>R082</t>
        </is>
      </c>
      <c r="B84" s="20" t="inlineStr">
        <is>
          <t>Solid Waste &amp; Sanitation</t>
        </is>
      </c>
      <c r="C84" s="20" t="inlineStr">
        <is>
          <t>Overflowing public bin or collection point</t>
        </is>
      </c>
      <c r="D84" s="20" t="inlineStr">
        <is>
          <t>bin full, waste spilling</t>
        </is>
      </c>
      <c r="E84" s="20" t="inlineStr">
        <is>
          <t>Confirm municipal bin/collection point</t>
        </is>
      </c>
      <c r="F84" s="21" t="inlineStr">
        <is>
          <t>BSWML / Relevant GBA City Corporation – Solid Waste Management</t>
        </is>
      </c>
      <c r="G84" s="21" t="inlineStr">
        <is>
          <t>None</t>
        </is>
      </c>
      <c r="H84" s="21" t="inlineStr">
        <is>
          <t>Single-department service issue</t>
        </is>
      </c>
      <c r="I84" s="20" t="inlineStr">
        <is>
          <t>No</t>
        </is>
      </c>
      <c r="J84" s="22" t="inlineStr">
        <is>
          <t>Sahaaya / 1533</t>
        </is>
      </c>
      <c r="K84" s="22" t="inlineStr">
        <is>
          <t>Direct official SWM scope</t>
        </is>
      </c>
      <c r="L84" s="21" t="inlineStr">
        <is>
          <t>High</t>
        </is>
      </c>
      <c r="M84" s="21" t="inlineStr">
        <is>
          <t>Facility-owned bin</t>
        </is>
      </c>
      <c r="N84" s="22" t="inlineStr">
        <is>
          <t>S09</t>
        </is>
      </c>
      <c r="O84" s="22" t="inlineStr">
        <is>
          <t>https://site.bbmp.gov.in/departmentwebsites/swm/</t>
        </is>
      </c>
      <c r="P84" s="21" t="inlineStr"/>
    </row>
    <row r="85" ht="82" customHeight="1">
      <c r="A85" s="15" t="inlineStr">
        <is>
          <t>R083</t>
        </is>
      </c>
      <c r="B85" s="15" t="inlineStr">
        <is>
          <t>Solid Waste &amp; Sanitation</t>
        </is>
      </c>
      <c r="C85" s="15" t="inlineStr">
        <is>
          <t>Garbage blocking a storm-water drain</t>
        </is>
      </c>
      <c r="D85" s="15" t="inlineStr">
        <is>
          <t>trash in drain, plastic blocking rainwater</t>
        </is>
      </c>
      <c r="E85" s="15" t="inlineStr">
        <is>
          <t>Confirm SWD asset</t>
        </is>
      </c>
      <c r="F85" s="16" t="inlineStr">
        <is>
          <t>BSWML / Relevant GBA City Corporation – Solid Waste Management</t>
        </is>
      </c>
      <c r="G85" s="17" t="inlineStr">
        <is>
          <t>Relevant GBA City Corporation – Storm Water Drain (SWD)</t>
        </is>
      </c>
      <c r="H85" s="17" t="inlineStr">
        <is>
          <t>Both tasks required: remove waste and restore/drain flow</t>
        </is>
      </c>
      <c r="I85" s="18" t="inlineStr">
        <is>
          <t>Conditional</t>
        </is>
      </c>
      <c r="J85" s="19" t="inlineStr">
        <is>
          <t>Sahaaya / 1533</t>
        </is>
      </c>
      <c r="K85" s="19" t="inlineStr">
        <is>
          <t>Direct SWM/SWD scopes + linked routing</t>
        </is>
      </c>
      <c r="L85" s="17" t="inlineStr">
        <is>
          <t>High</t>
        </is>
      </c>
      <c r="M85" s="17" t="inlineStr">
        <is>
          <t>Sewage rather than garbage</t>
        </is>
      </c>
      <c r="N85" s="19" t="inlineStr">
        <is>
          <t>S09, S12</t>
        </is>
      </c>
      <c r="O85" s="19" t="inlineStr">
        <is>
          <t>https://site.bbmp.gov.in/departmentwebsites/swm/
https://site.bbmp.gov.in/encroachment.html</t>
        </is>
      </c>
      <c r="P85" s="17" t="inlineStr"/>
    </row>
    <row r="86" ht="82" customHeight="1">
      <c r="A86" s="20" t="inlineStr">
        <is>
          <t>R084</t>
        </is>
      </c>
      <c r="B86" s="20" t="inlineStr">
        <is>
          <t>Solid Waste &amp; Sanitation</t>
        </is>
      </c>
      <c r="C86" s="20" t="inlineStr">
        <is>
          <t>Public toilet cleaning issue</t>
        </is>
      </c>
      <c r="D86" s="20" t="inlineStr">
        <is>
          <t>dirty public toilet, no cleaning</t>
        </is>
      </c>
      <c r="E86" s="20" t="inlineStr">
        <is>
          <t>Identify toilet custodian/operator</t>
        </is>
      </c>
      <c r="F86" s="21" t="inlineStr">
        <is>
          <t>BSWML / Relevant GBA City Corporation – Solid Waste Management</t>
        </is>
      </c>
      <c r="G86" s="21" t="inlineStr">
        <is>
          <t>Relevant GBA City Corporation – Health</t>
        </is>
      </c>
      <c r="H86" s="21" t="inlineStr">
        <is>
          <t>Health for severe sanitation/public-health risk or establishment inspection</t>
        </is>
      </c>
      <c r="I86" s="20" t="inlineStr">
        <is>
          <t>No</t>
        </is>
      </c>
      <c r="J86" s="22" t="inlineStr">
        <is>
          <t>Sahaaya / 1533</t>
        </is>
      </c>
      <c r="K86" s="22" t="inlineStr">
        <is>
          <t>Official SWM/public sanitation scope</t>
        </is>
      </c>
      <c r="L86" s="21" t="inlineStr">
        <is>
          <t>High</t>
        </is>
      </c>
      <c r="M86" s="21" t="inlineStr">
        <is>
          <t>BMTC/BMRCL/market facility-owned toilet</t>
        </is>
      </c>
      <c r="N86" s="22" t="inlineStr">
        <is>
          <t>S09, S19, S20</t>
        </is>
      </c>
      <c r="O86" s="22" t="inlineStr">
        <is>
          <t>https://site.bbmp.gov.in/departmentwebsites/swm/
https://english.bmrc.co.in/contact/
https://mybmtc.karnataka.gov.in/10/complaints/en</t>
        </is>
      </c>
      <c r="P86" s="21" t="inlineStr"/>
    </row>
    <row r="87" ht="82" customHeight="1">
      <c r="A87" s="15" t="inlineStr">
        <is>
          <t>R085</t>
        </is>
      </c>
      <c r="B87" s="15" t="inlineStr">
        <is>
          <t>Solid Waste &amp; Sanitation</t>
        </is>
      </c>
      <c r="C87" s="15" t="inlineStr">
        <is>
          <t>Public toilet structural/plumbing repair</t>
        </is>
      </c>
      <c r="D87" s="15" t="inlineStr">
        <is>
          <t>toilet broken, tap broken, door damaged, sewer issue</t>
        </is>
      </c>
      <c r="E87" s="15" t="inlineStr">
        <is>
          <t>Identify toilet custodian</t>
        </is>
      </c>
      <c r="F87" s="16" t="inlineStr">
        <is>
          <t>Facility custodian / GBA Engineering</t>
        </is>
      </c>
      <c r="G87" s="17" t="inlineStr">
        <is>
          <t>Bangalore Water Supply and Sewerage Board (BWSSB); BSWML / Relevant GBA City Corporation – Solid Waste Management</t>
        </is>
      </c>
      <c r="H87" s="17" t="inlineStr">
        <is>
          <t>BWSSB for public sewer connection issue; SWM for cleaning/operation</t>
        </is>
      </c>
      <c r="I87" s="27" t="inlineStr">
        <is>
          <t>No</t>
        </is>
      </c>
      <c r="J87" s="19" t="inlineStr">
        <is>
          <t>Sahaaya / facility complaint</t>
        </is>
      </c>
      <c r="K87" s="19" t="inlineStr">
        <is>
          <t>Custodian + cause-based routing</t>
        </is>
      </c>
      <c r="L87" s="17" t="inlineStr">
        <is>
          <t>Medium</t>
        </is>
      </c>
      <c r="M87" s="17" t="inlineStr">
        <is>
          <t>Ownership unclear</t>
        </is>
      </c>
      <c r="N87" s="19" t="inlineStr">
        <is>
          <t>S05, S09, S13</t>
        </is>
      </c>
      <c r="O87" s="19" t="inlineStr">
        <is>
          <t>https://site.bbmp.gov.in/departmentwebsites/Eng/about.html
https://site.bbmp.gov.in/departmentwebsites/swm/
https://bwssb.karnataka.gov.in/31/About%20BWSSB/en</t>
        </is>
      </c>
      <c r="P87" s="17" t="inlineStr"/>
    </row>
    <row r="88" ht="82" customHeight="1">
      <c r="A88" s="20" t="inlineStr">
        <is>
          <t>R086</t>
        </is>
      </c>
      <c r="B88" s="20" t="inlineStr">
        <is>
          <t>Solid Waste &amp; Sanitation</t>
        </is>
      </c>
      <c r="C88" s="20" t="inlineStr">
        <is>
          <t>Biomedical waste dumped in public place</t>
        </is>
      </c>
      <c r="D88" s="20" t="inlineStr">
        <is>
          <t>syringes, medical waste, blood bags</t>
        </is>
      </c>
      <c r="E88" s="20" t="inlineStr">
        <is>
          <t>Identify source and immediate exposure risk</t>
        </is>
      </c>
      <c r="F88" s="21" t="inlineStr">
        <is>
          <t>Karnataka State Pollution Control Board (KSPCB)</t>
        </is>
      </c>
      <c r="G88" s="21" t="inlineStr">
        <is>
          <t>Relevant GBA City Corporation – Health; BSWML / Relevant GBA City Corporation – Solid Waste Management; Police</t>
        </is>
      </c>
      <c r="H88" s="21" t="inlineStr">
        <is>
          <t>Health for exposure; SWM only through authorized handling; police if deliberate illegal dumping/crime</t>
        </is>
      </c>
      <c r="I88" s="23" t="inlineStr">
        <is>
          <t>Yes</t>
        </is>
      </c>
      <c r="J88" s="22" t="inlineStr">
        <is>
          <t>112 for immediate danger; KSPCB/health complaint</t>
        </is>
      </c>
      <c r="K88" s="22" t="inlineStr">
        <is>
          <t>Environmental/public-health routing inference</t>
        </is>
      </c>
      <c r="L88" s="21" t="inlineStr">
        <is>
          <t>High</t>
        </is>
      </c>
      <c r="M88" s="21" t="inlineStr">
        <is>
          <t>Unknown hazardous substance</t>
        </is>
      </c>
      <c r="N88" s="22" t="inlineStr">
        <is>
          <t>S23, S24, S03</t>
        </is>
      </c>
      <c r="O88" s="22" t="inlineStr">
        <is>
          <t>https://kspcb.karnataka.gov.in/contact-us-0
https://ksfes.karnataka.gov.in/en
https://sahaaya2.bbmp.gov.in/Grievance/ReviewReport.aspx</t>
        </is>
      </c>
      <c r="P88" s="21" t="inlineStr"/>
    </row>
    <row r="89" ht="82" customHeight="1">
      <c r="A89" s="24" t="inlineStr">
        <is>
          <t>R087</t>
        </is>
      </c>
      <c r="B89" s="24" t="inlineStr">
        <is>
          <t>Solid Waste &amp; Sanitation</t>
        </is>
      </c>
      <c r="C89" s="24" t="inlineStr">
        <is>
          <t>Industrial hazardous waste dumping</t>
        </is>
      </c>
      <c r="D89" s="24" t="inlineStr">
        <is>
          <t>chemical drums, hazardous sludge, toxic waste</t>
        </is>
      </c>
      <c r="E89" s="24" t="inlineStr">
        <is>
          <t>Identify substance/source and immediate risk</t>
        </is>
      </c>
      <c r="F89" s="25" t="inlineStr">
        <is>
          <t>Karnataka State Pollution Control Board (KSPCB)</t>
        </is>
      </c>
      <c r="G89" s="25" t="inlineStr">
        <is>
          <t>Fire/112; police; land/road custodian</t>
        </is>
      </c>
      <c r="H89" s="25" t="inlineStr">
        <is>
          <t>Emergency containment first; custodian supports access/cleanup only under expert direction</t>
        </is>
      </c>
      <c r="I89" s="23" t="inlineStr">
        <is>
          <t>Yes</t>
        </is>
      </c>
      <c r="J89" s="26" t="inlineStr">
        <is>
          <t>112 for acute danger; KSPCB</t>
        </is>
      </c>
      <c r="K89" s="26" t="inlineStr">
        <is>
          <t>Direct environmental + emergency scope</t>
        </is>
      </c>
      <c r="L89" s="25" t="inlineStr">
        <is>
          <t>High</t>
        </is>
      </c>
      <c r="M89" s="25" t="inlineStr">
        <is>
          <t>Substance unknown</t>
        </is>
      </c>
      <c r="N89" s="26" t="inlineStr">
        <is>
          <t>S23, S24</t>
        </is>
      </c>
      <c r="O89" s="26" t="inlineStr">
        <is>
          <t>https://kspcb.karnataka.gov.in/contact-us-0
https://ksfes.karnataka.gov.in/en</t>
        </is>
      </c>
      <c r="P89" s="25" t="inlineStr"/>
    </row>
    <row r="90" ht="82" customHeight="1">
      <c r="A90" s="20" t="inlineStr">
        <is>
          <t>R088</t>
        </is>
      </c>
      <c r="B90" s="20" t="inlineStr">
        <is>
          <t>Solid Waste &amp; Sanitation</t>
        </is>
      </c>
      <c r="C90" s="20" t="inlineStr">
        <is>
          <t>E-waste dumped in public place</t>
        </is>
      </c>
      <c r="D90" s="20" t="inlineStr">
        <is>
          <t>electronics, batteries, computer waste</t>
        </is>
      </c>
      <c r="E90" s="20" t="inlineStr">
        <is>
          <t>Confirm public location and scale</t>
        </is>
      </c>
      <c r="F90" s="21" t="inlineStr">
        <is>
          <t>Karnataka State Pollution Control Board (KSPCB)</t>
        </is>
      </c>
      <c r="G90" s="21" t="inlineStr">
        <is>
          <t>BSWML / Relevant GBA City Corporation – Solid Waste Management</t>
        </is>
      </c>
      <c r="H90" s="21" t="inlineStr">
        <is>
          <t>SWM for collection coordination only through authorized stream</t>
        </is>
      </c>
      <c r="I90" s="20" t="inlineStr">
        <is>
          <t>No</t>
        </is>
      </c>
      <c r="J90" s="22" t="inlineStr">
        <is>
          <t>KSPCB / Sahaaya</t>
        </is>
      </c>
      <c r="K90" s="22" t="inlineStr">
        <is>
          <t>Environmental + SWM inference</t>
        </is>
      </c>
      <c r="L90" s="21" t="inlineStr">
        <is>
          <t>Medium</t>
        </is>
      </c>
      <c r="M90" s="21" t="inlineStr">
        <is>
          <t>Commercial/industrial generator</t>
        </is>
      </c>
      <c r="N90" s="22" t="inlineStr">
        <is>
          <t>S23, S09</t>
        </is>
      </c>
      <c r="O90" s="22" t="inlineStr">
        <is>
          <t>https://kspcb.karnataka.gov.in/contact-us-0
https://site.bbmp.gov.in/departmentwebsites/swm/</t>
        </is>
      </c>
      <c r="P90" s="21" t="inlineStr"/>
    </row>
    <row r="91" ht="82" customHeight="1">
      <c r="A91" s="15" t="inlineStr">
        <is>
          <t>R089</t>
        </is>
      </c>
      <c r="B91" s="15" t="inlineStr">
        <is>
          <t>Electricity &amp; Streetlights</t>
        </is>
      </c>
      <c r="C91" s="15" t="inlineStr">
        <is>
          <t>Power outage</t>
        </is>
      </c>
      <c r="D91" s="15" t="inlineStr">
        <is>
          <t>no electricity, blackout, supply off</t>
        </is>
      </c>
      <c r="E91" s="15" t="inlineStr">
        <is>
          <t>Confirm BESCOM distribution area and consumer/transformer</t>
        </is>
      </c>
      <c r="F91" s="16" t="inlineStr">
        <is>
          <t>Bangalore Electricity Supply Company (BESCOM)</t>
        </is>
      </c>
      <c r="G91" s="16" t="inlineStr">
        <is>
          <t>None</t>
        </is>
      </c>
      <c r="H91" s="16" t="inlineStr">
        <is>
          <t>Single-department supply complaint unless public safety/traffic assets are affected</t>
        </is>
      </c>
      <c r="I91" s="15" t="inlineStr">
        <is>
          <t>No</t>
        </is>
      </c>
      <c r="J91" s="19" t="inlineStr">
        <is>
          <t>1912 / BESCOM online complaint</t>
        </is>
      </c>
      <c r="K91" s="19" t="inlineStr">
        <is>
          <t>Direct official BESCOM scope</t>
        </is>
      </c>
      <c r="L91" s="16" t="inlineStr">
        <is>
          <t>High</t>
        </is>
      </c>
      <c r="M91" s="16" t="inlineStr">
        <is>
          <t>Internal building wiring or another DISCOM area</t>
        </is>
      </c>
      <c r="N91" s="19" t="inlineStr">
        <is>
          <t>S15, S16</t>
        </is>
      </c>
      <c r="O91" s="19" t="inlineStr">
        <is>
          <t>https://bescom.karnataka.gov.in/301/Contact%20Us/en
https://www.bescom.co.in/</t>
        </is>
      </c>
      <c r="P91" s="16" t="inlineStr"/>
    </row>
    <row r="92" ht="82" customHeight="1">
      <c r="A92" s="20" t="inlineStr">
        <is>
          <t>R090</t>
        </is>
      </c>
      <c r="B92" s="20" t="inlineStr">
        <is>
          <t>Electricity &amp; Streetlights</t>
        </is>
      </c>
      <c r="C92" s="20" t="inlineStr">
        <is>
          <t>Voltage fluctuation or low/high voltage</t>
        </is>
      </c>
      <c r="D92" s="20" t="inlineStr">
        <is>
          <t>voltage low, voltage high, appliances affected</t>
        </is>
      </c>
      <c r="E92" s="20" t="inlineStr">
        <is>
          <t>Confirm BESCOM supply and consumer account</t>
        </is>
      </c>
      <c r="F92" s="21" t="inlineStr">
        <is>
          <t>Bangalore Electricity Supply Company (BESCOM)</t>
        </is>
      </c>
      <c r="G92" s="21" t="inlineStr">
        <is>
          <t>None</t>
        </is>
      </c>
      <c r="H92" s="21" t="inlineStr">
        <is>
          <t>Single-department supply-quality complaint</t>
        </is>
      </c>
      <c r="I92" s="20" t="inlineStr">
        <is>
          <t>No</t>
        </is>
      </c>
      <c r="J92" s="22" t="inlineStr">
        <is>
          <t>1912 / BESCOM complaint</t>
        </is>
      </c>
      <c r="K92" s="22" t="inlineStr">
        <is>
          <t>Direct official BESCOM scope</t>
        </is>
      </c>
      <c r="L92" s="21" t="inlineStr">
        <is>
          <t>High</t>
        </is>
      </c>
      <c r="M92" s="21" t="inlineStr">
        <is>
          <t>Internal wiring</t>
        </is>
      </c>
      <c r="N92" s="22" t="inlineStr">
        <is>
          <t>S15, S16</t>
        </is>
      </c>
      <c r="O92" s="22" t="inlineStr">
        <is>
          <t>https://bescom.karnataka.gov.in/301/Contact%20Us/en
https://www.bescom.co.in/</t>
        </is>
      </c>
      <c r="P92" s="21" t="inlineStr"/>
    </row>
    <row r="93" ht="82" customHeight="1">
      <c r="A93" s="24" t="inlineStr">
        <is>
          <t>R091</t>
        </is>
      </c>
      <c r="B93" s="24" t="inlineStr">
        <is>
          <t>Electricity &amp; Streetlights</t>
        </is>
      </c>
      <c r="C93" s="24" t="inlineStr">
        <is>
          <t>Transformer failure, sparking or oil leak</t>
        </is>
      </c>
      <c r="D93" s="24" t="inlineStr">
        <is>
          <t>transformer blast, sparks, smoke, oil leak</t>
        </is>
      </c>
      <c r="E93" s="24" t="inlineStr">
        <is>
          <t>Confirm BESCOM asset</t>
        </is>
      </c>
      <c r="F93" s="25" t="inlineStr">
        <is>
          <t>Bangalore Electricity Supply Company (BESCOM)</t>
        </is>
      </c>
      <c r="G93" s="25" t="inlineStr">
        <is>
          <t>Fire/112; BTP</t>
        </is>
      </c>
      <c r="H93" s="25" t="inlineStr">
        <is>
          <t>Fire/112 for fire/explosion; BTP if road area must be isolated</t>
        </is>
      </c>
      <c r="I93" s="23" t="inlineStr">
        <is>
          <t>Yes</t>
        </is>
      </c>
      <c r="J93" s="26" t="inlineStr">
        <is>
          <t>1912 and 101/112 if hazardous</t>
        </is>
      </c>
      <c r="K93" s="26" t="inlineStr">
        <is>
          <t>Direct electrical + emergency scope</t>
        </is>
      </c>
      <c r="L93" s="25" t="inlineStr">
        <is>
          <t>High</t>
        </is>
      </c>
      <c r="M93" s="25" t="inlineStr">
        <is>
          <t>Private transformer/internal campus</t>
        </is>
      </c>
      <c r="N93" s="26" t="inlineStr">
        <is>
          <t>S15, S24, S18</t>
        </is>
      </c>
      <c r="O93" s="26" t="inlineStr">
        <is>
          <t>https://bescom.karnataka.gov.in/301/Contact%20Us/en
https://ksfes.karnataka.gov.in/en
https://btp.karnataka.gov.in/tmc/en</t>
        </is>
      </c>
      <c r="P93" s="25" t="inlineStr"/>
    </row>
    <row r="94" ht="82" customHeight="1">
      <c r="A94" s="20" t="inlineStr">
        <is>
          <t>R092</t>
        </is>
      </c>
      <c r="B94" s="20" t="inlineStr">
        <is>
          <t>Electricity &amp; Streetlights</t>
        </is>
      </c>
      <c r="C94" s="20" t="inlineStr">
        <is>
          <t>Live wire or exposed electrical cable</t>
        </is>
      </c>
      <c r="D94" s="20" t="inlineStr">
        <is>
          <t>wire sparking, cable exposed, electric shock risk</t>
        </is>
      </c>
      <c r="E94" s="20" t="inlineStr">
        <is>
          <t>Identify BESCOM vs streetlight/traffic/telecom asset</t>
        </is>
      </c>
      <c r="F94" s="21" t="inlineStr">
        <is>
          <t>Bangalore Electricity Supply Company (BESCOM)</t>
        </is>
      </c>
      <c r="G94" s="21" t="inlineStr">
        <is>
          <t>Fire/112; BTP; relevant civic asset owner</t>
        </is>
      </c>
      <c r="H94" s="21" t="inlineStr">
        <is>
          <t>Emergency isolation; civic owner handles damaged fixture/pole after supply is made safe</t>
        </is>
      </c>
      <c r="I94" s="23" t="inlineStr">
        <is>
          <t>Yes</t>
        </is>
      </c>
      <c r="J94" s="22" t="inlineStr">
        <is>
          <t>1912 and 112</t>
        </is>
      </c>
      <c r="K94" s="22" t="inlineStr">
        <is>
          <t>Direct safety scope + asset routing</t>
        </is>
      </c>
      <c r="L94" s="21" t="inlineStr">
        <is>
          <t>High</t>
        </is>
      </c>
      <c r="M94" s="21" t="inlineStr">
        <is>
          <t>Asset owner unclear</t>
        </is>
      </c>
      <c r="N94" s="22" t="inlineStr">
        <is>
          <t>S15, S18, S24</t>
        </is>
      </c>
      <c r="O94" s="22" t="inlineStr">
        <is>
          <t>https://bescom.karnataka.gov.in/301/Contact%20Us/en
https://btp.karnataka.gov.in/tmc/en
https://ksfes.karnataka.gov.in/en</t>
        </is>
      </c>
      <c r="P94" s="21" t="inlineStr"/>
    </row>
    <row r="95" ht="82" customHeight="1">
      <c r="A95" s="24" t="inlineStr">
        <is>
          <t>R093</t>
        </is>
      </c>
      <c r="B95" s="24" t="inlineStr">
        <is>
          <t>Electricity &amp; Streetlights</t>
        </is>
      </c>
      <c r="C95" s="24" t="inlineStr">
        <is>
          <t>Fallen or leaning electricity pole</t>
        </is>
      </c>
      <c r="D95" s="24" t="inlineStr">
        <is>
          <t>power pole fallen, pole leaning</t>
        </is>
      </c>
      <c r="E95" s="24" t="inlineStr">
        <is>
          <t>Confirm BESCOM pole</t>
        </is>
      </c>
      <c r="F95" s="25" t="inlineStr">
        <is>
          <t>Bangalore Electricity Supply Company (BESCOM)</t>
        </is>
      </c>
      <c r="G95" s="25" t="inlineStr">
        <is>
          <t>BTP; Relevant GBA City Corporation – Engineering / Road Infrastructure; Fire/112</t>
        </is>
      </c>
      <c r="H95" s="25" t="inlineStr">
        <is>
          <t>BTP closes road; road unit repairs surface; 112 for immediate danger</t>
        </is>
      </c>
      <c r="I95" s="23" t="inlineStr">
        <is>
          <t>Yes</t>
        </is>
      </c>
      <c r="J95" s="26" t="inlineStr">
        <is>
          <t>1912 and 112</t>
        </is>
      </c>
      <c r="K95" s="26" t="inlineStr">
        <is>
          <t>Direct electrical + traffic/emergency co-routing</t>
        </is>
      </c>
      <c r="L95" s="25" t="inlineStr">
        <is>
          <t>High</t>
        </is>
      </c>
      <c r="M95" s="25" t="inlineStr">
        <is>
          <t>Streetlight/traffic-signal pole instead of BESCOM</t>
        </is>
      </c>
      <c r="N95" s="26" t="inlineStr">
        <is>
          <t>S15, S18, S24</t>
        </is>
      </c>
      <c r="O95" s="26" t="inlineStr">
        <is>
          <t>https://bescom.karnataka.gov.in/301/Contact%20Us/en
https://btp.karnataka.gov.in/tmc/en
https://ksfes.karnataka.gov.in/en</t>
        </is>
      </c>
      <c r="P95" s="25" t="inlineStr"/>
    </row>
    <row r="96" ht="82" customHeight="1">
      <c r="A96" s="20" t="inlineStr">
        <is>
          <t>R094</t>
        </is>
      </c>
      <c r="B96" s="20" t="inlineStr">
        <is>
          <t>Electricity &amp; Streetlights</t>
        </is>
      </c>
      <c r="C96" s="20" t="inlineStr">
        <is>
          <t>Electricity meter or billing complaint</t>
        </is>
      </c>
      <c r="D96" s="20" t="inlineStr">
        <is>
          <t>wrong bill, meter issue, name change, tariff, load</t>
        </is>
      </c>
      <c r="E96" s="20" t="inlineStr">
        <is>
          <t>BESCOM account/service</t>
        </is>
      </c>
      <c r="F96" s="21" t="inlineStr">
        <is>
          <t>Bangalore Electricity Supply Company (BESCOM)</t>
        </is>
      </c>
      <c r="G96" s="21" t="inlineStr">
        <is>
          <t>None</t>
        </is>
      </c>
      <c r="H96" s="21" t="inlineStr">
        <is>
          <t>Single-department customer service</t>
        </is>
      </c>
      <c r="I96" s="20" t="inlineStr">
        <is>
          <t>No</t>
        </is>
      </c>
      <c r="J96" s="22" t="inlineStr">
        <is>
          <t>BESCOM self-service / 1912</t>
        </is>
      </c>
      <c r="K96" s="22" t="inlineStr">
        <is>
          <t>Direct official BESCOM scope</t>
        </is>
      </c>
      <c r="L96" s="21" t="inlineStr">
        <is>
          <t>High</t>
        </is>
      </c>
      <c r="M96" s="21" t="inlineStr">
        <is>
          <t>None</t>
        </is>
      </c>
      <c r="N96" s="22" t="inlineStr">
        <is>
          <t>S15, S16</t>
        </is>
      </c>
      <c r="O96" s="22" t="inlineStr">
        <is>
          <t>https://bescom.karnataka.gov.in/301/Contact%20Us/en
https://www.bescom.co.in/</t>
        </is>
      </c>
      <c r="P96" s="21" t="inlineStr"/>
    </row>
    <row r="97" ht="82" customHeight="1">
      <c r="A97" s="15" t="inlineStr">
        <is>
          <t>R095</t>
        </is>
      </c>
      <c r="B97" s="15" t="inlineStr">
        <is>
          <t>Electricity &amp; Streetlights</t>
        </is>
      </c>
      <c r="C97" s="15" t="inlineStr">
        <is>
          <t>New connection, load enhancement or service request</t>
        </is>
      </c>
      <c r="D97" s="15" t="inlineStr">
        <is>
          <t>new power, load increase, meter shift</t>
        </is>
      </c>
      <c r="E97" s="15" t="inlineStr">
        <is>
          <t>BESCOM service area/property</t>
        </is>
      </c>
      <c r="F97" s="16" t="inlineStr">
        <is>
          <t>Bangalore Electricity Supply Company (BESCOM)</t>
        </is>
      </c>
      <c r="G97" s="17" t="inlineStr">
        <is>
          <t>GBA Town Planning</t>
        </is>
      </c>
      <c r="H97" s="17" t="inlineStr">
        <is>
          <t>Add planning only when a separate statutory property or construction permission is required</t>
        </is>
      </c>
      <c r="I97" s="27" t="inlineStr">
        <is>
          <t>No</t>
        </is>
      </c>
      <c r="J97" s="19" t="inlineStr">
        <is>
          <t>BESCOM self-service</t>
        </is>
      </c>
      <c r="K97" s="19" t="inlineStr">
        <is>
          <t>Direct official BESCOM scope</t>
        </is>
      </c>
      <c r="L97" s="17" t="inlineStr">
        <is>
          <t>High</t>
        </is>
      </c>
      <c r="M97" s="17" t="inlineStr">
        <is>
          <t>Property/document validation</t>
        </is>
      </c>
      <c r="N97" s="19" t="inlineStr">
        <is>
          <t>S16</t>
        </is>
      </c>
      <c r="O97" s="19" t="inlineStr">
        <is>
          <t>https://www.bescom.co.in/</t>
        </is>
      </c>
      <c r="P97" s="17" t="inlineStr"/>
    </row>
    <row r="98" ht="82" customHeight="1">
      <c r="A98" s="20" t="inlineStr">
        <is>
          <t>R096</t>
        </is>
      </c>
      <c r="B98" s="20" t="inlineStr">
        <is>
          <t>Electricity &amp; Streetlights</t>
        </is>
      </c>
      <c r="C98" s="20" t="inlineStr">
        <is>
          <t>BESCOM cable work damaged road/footpath</t>
        </is>
      </c>
      <c r="D98" s="20" t="inlineStr">
        <is>
          <t>electric trench, road broken after cable work</t>
        </is>
      </c>
      <c r="E98" s="20" t="inlineStr">
        <is>
          <t>Confirm BESCOM work/permit</t>
        </is>
      </c>
      <c r="F98" s="21" t="inlineStr">
        <is>
          <t>Bangalore Electricity Supply Company (BESCOM)</t>
        </is>
      </c>
      <c r="G98" s="21" t="inlineStr">
        <is>
          <t>Relevant GBA City Corporation – Engineering / Road Infrastructure</t>
        </is>
      </c>
      <c r="H98" s="21" t="inlineStr">
        <is>
          <t>Linked restoration task after electrical work completion; BTP for active hazard</t>
        </is>
      </c>
      <c r="I98" s="18" t="inlineStr">
        <is>
          <t>Conditional</t>
        </is>
      </c>
      <c r="J98" s="22" t="inlineStr">
        <is>
          <t>BESCOM + Sahaaya</t>
        </is>
      </c>
      <c r="K98" s="22" t="inlineStr">
        <is>
          <t>Official MARCS/road-cutting workflow</t>
        </is>
      </c>
      <c r="L98" s="21" t="inlineStr">
        <is>
          <t>High</t>
        </is>
      </c>
      <c r="M98" s="21" t="inlineStr">
        <is>
          <t>Contractor/permit not identifiable</t>
        </is>
      </c>
      <c r="N98" s="22" t="inlineStr">
        <is>
          <t>S07, S08, S15</t>
        </is>
      </c>
      <c r="O98" s="22" t="inlineStr">
        <is>
          <t>https://site.bbmp.gov.in/departmentwebsites/Eng/EngDuct.html
https://site.bbmp.gov.in/departmentwebsites/bbmpit/marcs.html
https://bescom.karnataka.gov.in/301/Contact%20Us/en</t>
        </is>
      </c>
      <c r="P98" s="21" t="inlineStr"/>
    </row>
    <row r="99" ht="82" customHeight="1">
      <c r="A99" s="15" t="inlineStr">
        <is>
          <t>R097</t>
        </is>
      </c>
      <c r="B99" s="15" t="inlineStr">
        <is>
          <t>Electricity &amp; Streetlights</t>
        </is>
      </c>
      <c r="C99" s="15" t="inlineStr">
        <is>
          <t>Streetlight not working</t>
        </is>
      </c>
      <c r="D99" s="15" t="inlineStr">
        <is>
          <t>street light off, dark street, lamp failed</t>
        </is>
      </c>
      <c r="E99" s="15" t="inlineStr">
        <is>
          <t>Confirm municipal streetlight vs highway/private/BDA/BMRCL light</t>
        </is>
      </c>
      <c r="F99" s="16" t="inlineStr">
        <is>
          <t>Relevant GBA City Corporation – Electrical</t>
        </is>
      </c>
      <c r="G99" s="17" t="inlineStr">
        <is>
          <t>Bangalore Electricity Supply Company (BESCOM)</t>
        </is>
      </c>
      <c r="H99" s="17" t="inlineStr">
        <is>
          <t>BESCOM only if feeder/external supply failure; municipal electrical unit handles fixture/control</t>
        </is>
      </c>
      <c r="I99" s="27" t="inlineStr">
        <is>
          <t>No</t>
        </is>
      </c>
      <c r="J99" s="19" t="inlineStr">
        <is>
          <t>Sahaaya / Fix My Street</t>
        </is>
      </c>
      <c r="K99" s="19" t="inlineStr">
        <is>
          <t>Direct municipal category + supply distinction</t>
        </is>
      </c>
      <c r="L99" s="17" t="inlineStr">
        <is>
          <t>High</t>
        </is>
      </c>
      <c r="M99" s="17" t="inlineStr">
        <is>
          <t>Asset owner unclear</t>
        </is>
      </c>
      <c r="N99" s="19" t="inlineStr">
        <is>
          <t>S03, S04, S15</t>
        </is>
      </c>
      <c r="O99" s="19" t="inlineStr">
        <is>
          <t>https://sahaaya2.bbmp.gov.in/Grievance/ReviewReport.aspx
https://site.bbmp.gov.in/departmentwebsites/BBMPIT/fms.html
https://bescom.karnataka.gov.in/301/Contact%20Us/en</t>
        </is>
      </c>
      <c r="P99" s="17" t="inlineStr"/>
    </row>
    <row r="100" ht="82" customHeight="1">
      <c r="A100" s="20" t="inlineStr">
        <is>
          <t>R098</t>
        </is>
      </c>
      <c r="B100" s="20" t="inlineStr">
        <is>
          <t>Electricity &amp; Streetlights</t>
        </is>
      </c>
      <c r="C100" s="20" t="inlineStr">
        <is>
          <t>Streetlight pole damaged or leaning</t>
        </is>
      </c>
      <c r="D100" s="20" t="inlineStr">
        <is>
          <t>municipal light pole broken, pole hit</t>
        </is>
      </c>
      <c r="E100" s="20" t="inlineStr">
        <is>
          <t>Confirm municipal streetlight asset</t>
        </is>
      </c>
      <c r="F100" s="21" t="inlineStr">
        <is>
          <t>Relevant GBA City Corporation – Electrical</t>
        </is>
      </c>
      <c r="G100" s="21" t="inlineStr">
        <is>
          <t>BESCOM; BTP; Fire/112</t>
        </is>
      </c>
      <c r="H100" s="21" t="inlineStr">
        <is>
          <t>BESCOM if live supply hazard; BTP for road isolation; 112 if immediate danger</t>
        </is>
      </c>
      <c r="I100" s="23" t="inlineStr">
        <is>
          <t>Yes</t>
        </is>
      </c>
      <c r="J100" s="22" t="inlineStr">
        <is>
          <t>112 if dangerous; Sahaaya</t>
        </is>
      </c>
      <c r="K100" s="22" t="inlineStr">
        <is>
          <t>Municipal electrical + emergency inference</t>
        </is>
      </c>
      <c r="L100" s="21" t="inlineStr">
        <is>
          <t>High</t>
        </is>
      </c>
      <c r="M100" s="21" t="inlineStr">
        <is>
          <t>It may be a BESCOM or traffic signal pole</t>
        </is>
      </c>
      <c r="N100" s="22" t="inlineStr">
        <is>
          <t>S03, S15, S18, S24</t>
        </is>
      </c>
      <c r="O100" s="22" t="inlineStr">
        <is>
          <t>https://sahaaya2.bbmp.gov.in/Grievance/ReviewReport.aspx
https://bescom.karnataka.gov.in/301/Contact%20Us/en
https://btp.karnataka.gov.in/tmc/en
https://ksfes.karnataka.gov.in/en</t>
        </is>
      </c>
      <c r="P100" s="21" t="inlineStr"/>
    </row>
    <row r="101" ht="82" customHeight="1">
      <c r="A101" s="24" t="inlineStr">
        <is>
          <t>R099</t>
        </is>
      </c>
      <c r="B101" s="24" t="inlineStr">
        <is>
          <t>Electricity &amp; Streetlights</t>
        </is>
      </c>
      <c r="C101" s="24" t="inlineStr">
        <is>
          <t>Streetlight wiring exposed</t>
        </is>
      </c>
      <c r="D101" s="24" t="inlineStr">
        <is>
          <t>streetlight wire open, shock risk</t>
        </is>
      </c>
      <c r="E101" s="24" t="inlineStr">
        <is>
          <t>Confirm municipal streetlight asset</t>
        </is>
      </c>
      <c r="F101" s="25" t="inlineStr">
        <is>
          <t>Relevant GBA City Corporation – Electrical</t>
        </is>
      </c>
      <c r="G101" s="25" t="inlineStr">
        <is>
          <t>BESCOM / Fire/112</t>
        </is>
      </c>
      <c r="H101" s="25" t="inlineStr">
        <is>
          <t>Use emergency channels for active electrical danger; BESCOM if supply isolation is needed</t>
        </is>
      </c>
      <c r="I101" s="23" t="inlineStr">
        <is>
          <t>Yes</t>
        </is>
      </c>
      <c r="J101" s="26" t="inlineStr">
        <is>
          <t>112/1912 plus Sahaaya</t>
        </is>
      </c>
      <c r="K101" s="26" t="inlineStr">
        <is>
          <t>Electrical safety inference</t>
        </is>
      </c>
      <c r="L101" s="25" t="inlineStr">
        <is>
          <t>High</t>
        </is>
      </c>
      <c r="M101" s="25" t="inlineStr">
        <is>
          <t>Asset owner unclear</t>
        </is>
      </c>
      <c r="N101" s="26" t="inlineStr">
        <is>
          <t>S03, S15, S24</t>
        </is>
      </c>
      <c r="O101" s="26" t="inlineStr">
        <is>
          <t>https://sahaaya2.bbmp.gov.in/Grievance/ReviewReport.aspx
https://bescom.karnataka.gov.in/301/Contact%20Us/en
https://ksfes.karnataka.gov.in/en</t>
        </is>
      </c>
      <c r="P101" s="25" t="inlineStr"/>
    </row>
    <row r="102" ht="82" customHeight="1">
      <c r="A102" s="20" t="inlineStr">
        <is>
          <t>R100</t>
        </is>
      </c>
      <c r="B102" s="20" t="inlineStr">
        <is>
          <t>Electricity &amp; Streetlights</t>
        </is>
      </c>
      <c r="C102" s="20" t="inlineStr">
        <is>
          <t>Electricity pole obstructing road or footpath</t>
        </is>
      </c>
      <c r="D102" s="20" t="inlineStr">
        <is>
          <t>pole in carriageway, pole blocks sidewalk</t>
        </is>
      </c>
      <c r="E102" s="20" t="inlineStr">
        <is>
          <t>Confirm BESCOM pole and right-of-way</t>
        </is>
      </c>
      <c r="F102" s="21" t="inlineStr">
        <is>
          <t>Bangalore Electricity Supply Company (BESCOM)</t>
        </is>
      </c>
      <c r="G102" s="21" t="inlineStr">
        <is>
          <t>Relevant GBA City Corporation – Engineering / Road Infrastructure; BTP</t>
        </is>
      </c>
      <c r="H102" s="21" t="inlineStr">
        <is>
          <t>Road unit for redesign/permission; BTP for traffic or pedestrian hazard</t>
        </is>
      </c>
      <c r="I102" s="18" t="inlineStr">
        <is>
          <t>Conditional</t>
        </is>
      </c>
      <c r="J102" s="22" t="inlineStr">
        <is>
          <t>BESCOM + Sahaaya/BTP</t>
        </is>
      </c>
      <c r="K102" s="22" t="inlineStr">
        <is>
          <t>Multi-agency asset/ROW inference</t>
        </is>
      </c>
      <c r="L102" s="21" t="inlineStr">
        <is>
          <t>Medium</t>
        </is>
      </c>
      <c r="M102" s="21" t="inlineStr">
        <is>
          <t>Pole relocation authority/cost responsibility requires review</t>
        </is>
      </c>
      <c r="N102" s="22" t="inlineStr">
        <is>
          <t>S05, S15, S18</t>
        </is>
      </c>
      <c r="O102" s="22" t="inlineStr">
        <is>
          <t>https://site.bbmp.gov.in/departmentwebsites/Eng/about.html
https://bescom.karnataka.gov.in/301/Contact%20Us/en
https://btp.karnataka.gov.in/tmc/en</t>
        </is>
      </c>
      <c r="P102" s="21" t="inlineStr"/>
    </row>
    <row r="103" ht="82" customHeight="1">
      <c r="A103" s="24" t="inlineStr">
        <is>
          <t>R101</t>
        </is>
      </c>
      <c r="B103" s="24" t="inlineStr">
        <is>
          <t>Trees, Parks, Animals &amp; Environment</t>
        </is>
      </c>
      <c r="C103" s="24" t="inlineStr">
        <is>
          <t>Fallen tree on road</t>
        </is>
      </c>
      <c r="D103" s="24" t="inlineStr">
        <is>
          <t>tree fallen, road blocked by tree</t>
        </is>
      </c>
      <c r="E103" s="24" t="inlineStr">
        <is>
          <t>Confirm public tree/land custodian</t>
        </is>
      </c>
      <c r="F103" s="25" t="inlineStr">
        <is>
          <t>Relevant GBA City Corporation – Forest / Horticulture</t>
        </is>
      </c>
      <c r="G103" s="25" t="inlineStr">
        <is>
          <t>BTP; BESCOM; Fire/112</t>
        </is>
      </c>
      <c r="H103" s="25" t="inlineStr">
        <is>
          <t>BTP for road closure; BESCOM if power line involved; 112 for rescue/immediate danger</t>
        </is>
      </c>
      <c r="I103" s="23" t="inlineStr">
        <is>
          <t>Yes</t>
        </is>
      </c>
      <c r="J103" s="26" t="inlineStr">
        <is>
          <t>112 if dangerous; Sahaaya</t>
        </is>
      </c>
      <c r="K103" s="26" t="inlineStr">
        <is>
          <t>Municipal forest/horticulture + emergency co-routing</t>
        </is>
      </c>
      <c r="L103" s="25" t="inlineStr">
        <is>
          <t>High</t>
        </is>
      </c>
      <c r="M103" s="25" t="inlineStr">
        <is>
          <t>Tree on private/BDA/Forest/BMRCL land</t>
        </is>
      </c>
      <c r="N103" s="26" t="inlineStr">
        <is>
          <t>S03, S18, S24, S15</t>
        </is>
      </c>
      <c r="O103" s="26" t="inlineStr">
        <is>
          <t>https://sahaaya2.bbmp.gov.in/Grievance/ReviewReport.aspx
https://btp.karnataka.gov.in/tmc/en
https://ksfes.karnataka.gov.in/en
https://bescom.karnataka.gov.in/301/Contact%20Us/en</t>
        </is>
      </c>
      <c r="P103" s="25" t="inlineStr"/>
    </row>
    <row r="104" ht="82" customHeight="1">
      <c r="A104" s="20" t="inlineStr">
        <is>
          <t>R102</t>
        </is>
      </c>
      <c r="B104" s="20" t="inlineStr">
        <is>
          <t>Trees, Parks, Animals &amp; Environment</t>
        </is>
      </c>
      <c r="C104" s="20" t="inlineStr">
        <is>
          <t>Dangerous branch or unstable public tree</t>
        </is>
      </c>
      <c r="D104" s="20" t="inlineStr">
        <is>
          <t>branch may fall, tree leaning, dead tree</t>
        </is>
      </c>
      <c r="E104" s="20" t="inlineStr">
        <is>
          <t>Confirm public land/tree custodian</t>
        </is>
      </c>
      <c r="F104" s="21" t="inlineStr">
        <is>
          <t>Relevant GBA City Corporation – Forest / Horticulture</t>
        </is>
      </c>
      <c r="G104" s="21" t="inlineStr">
        <is>
          <t>BTP / BESCOM</t>
        </is>
      </c>
      <c r="H104" s="21" t="inlineStr">
        <is>
          <t>BTP if over carriageway; BESCOM if touching power lines</t>
        </is>
      </c>
      <c r="I104" s="18" t="inlineStr">
        <is>
          <t>Conditional</t>
        </is>
      </c>
      <c r="J104" s="22" t="inlineStr">
        <is>
          <t>Sahaaya / 1533</t>
        </is>
      </c>
      <c r="K104" s="22" t="inlineStr">
        <is>
          <t>Municipal category + conditional routing</t>
        </is>
      </c>
      <c r="L104" s="21" t="inlineStr">
        <is>
          <t>High</t>
        </is>
      </c>
      <c r="M104" s="21" t="inlineStr">
        <is>
          <t>Private property/tree ownership</t>
        </is>
      </c>
      <c r="N104" s="22" t="inlineStr">
        <is>
          <t>S03, S15, S18</t>
        </is>
      </c>
      <c r="O104" s="22" t="inlineStr">
        <is>
          <t>https://sahaaya2.bbmp.gov.in/Grievance/ReviewReport.aspx
https://bescom.karnataka.gov.in/301/Contact%20Us/en
https://btp.karnataka.gov.in/tmc/en</t>
        </is>
      </c>
      <c r="P104" s="21" t="inlineStr"/>
    </row>
    <row r="105" ht="82" customHeight="1">
      <c r="A105" s="24" t="inlineStr">
        <is>
          <t>R103</t>
        </is>
      </c>
      <c r="B105" s="24" t="inlineStr">
        <is>
          <t>Trees, Parks, Animals &amp; Environment</t>
        </is>
      </c>
      <c r="C105" s="24" t="inlineStr">
        <is>
          <t>Tree touching power line</t>
        </is>
      </c>
      <c r="D105" s="24" t="inlineStr">
        <is>
          <t>branches on electric wire, tree sparks</t>
        </is>
      </c>
      <c r="E105" s="24" t="inlineStr">
        <is>
          <t>Confirm tree and electrical asset owners</t>
        </is>
      </c>
      <c r="F105" s="25" t="inlineStr">
        <is>
          <t>Bangalore Electricity Supply Company (BESCOM)</t>
        </is>
      </c>
      <c r="G105" s="25" t="inlineStr">
        <is>
          <t>Relevant GBA City Corporation – Forest / Horticulture</t>
        </is>
      </c>
      <c r="H105" s="25" t="inlineStr">
        <is>
          <t>Electrical safety/clearance first; municipal tree unit handles pruning where jurisdiction applies</t>
        </is>
      </c>
      <c r="I105" s="23" t="inlineStr">
        <is>
          <t>Yes</t>
        </is>
      </c>
      <c r="J105" s="26" t="inlineStr">
        <is>
          <t>1912; 112 if sparking/fire</t>
        </is>
      </c>
      <c r="K105" s="26" t="inlineStr">
        <is>
          <t>Electrical safety + municipal tree scope</t>
        </is>
      </c>
      <c r="L105" s="25" t="inlineStr">
        <is>
          <t>High</t>
        </is>
      </c>
      <c r="M105" s="25" t="inlineStr">
        <is>
          <t>Private tree/property permission</t>
        </is>
      </c>
      <c r="N105" s="26" t="inlineStr">
        <is>
          <t>S15, S03, S24</t>
        </is>
      </c>
      <c r="O105" s="26" t="inlineStr">
        <is>
          <t>https://bescom.karnataka.gov.in/301/Contact%20Us/en
https://sahaaya2.bbmp.gov.in/Grievance/ReviewReport.aspx
https://ksfes.karnataka.gov.in/en</t>
        </is>
      </c>
      <c r="P105" s="25" t="inlineStr"/>
    </row>
    <row r="106" ht="82" customHeight="1">
      <c r="A106" s="20" t="inlineStr">
        <is>
          <t>R104</t>
        </is>
      </c>
      <c r="B106" s="20" t="inlineStr">
        <is>
          <t>Trees, Parks, Animals &amp; Environment</t>
        </is>
      </c>
      <c r="C106" s="20" t="inlineStr">
        <is>
          <t>Unauthorized tree cutting</t>
        </is>
      </c>
      <c r="D106" s="20" t="inlineStr">
        <is>
          <t>tree being cut illegally, public tree removed</t>
        </is>
      </c>
      <c r="E106" s="20" t="inlineStr">
        <is>
          <t>Confirm land/tree ownership and permit</t>
        </is>
      </c>
      <c r="F106" s="21" t="inlineStr">
        <is>
          <t>Relevant GBA City Corporation – Forest / Horticulture</t>
        </is>
      </c>
      <c r="G106" s="21" t="inlineStr">
        <is>
          <t>Police / project authority</t>
        </is>
      </c>
      <c r="H106" s="21" t="inlineStr">
        <is>
          <t>Police if active offence/conflict; project authority if permitted work is disputed</t>
        </is>
      </c>
      <c r="I106" s="18" t="inlineStr">
        <is>
          <t>Conditional</t>
        </is>
      </c>
      <c r="J106" s="22" t="inlineStr">
        <is>
          <t>Sahaaya / police/112 if immediate conflict</t>
        </is>
      </c>
      <c r="K106" s="22" t="inlineStr">
        <is>
          <t>Municipal category + enforcement inference</t>
        </is>
      </c>
      <c r="L106" s="21" t="inlineStr">
        <is>
          <t>Medium</t>
        </is>
      </c>
      <c r="M106" s="21" t="inlineStr">
        <is>
          <t>Forest Department/private land jurisdiction</t>
        </is>
      </c>
      <c r="N106" s="22" t="inlineStr">
        <is>
          <t>S03, S24</t>
        </is>
      </c>
      <c r="O106" s="22" t="inlineStr">
        <is>
          <t>https://sahaaya2.bbmp.gov.in/Grievance/ReviewReport.aspx
https://ksfes.karnataka.gov.in/en</t>
        </is>
      </c>
      <c r="P106" s="21" t="inlineStr"/>
    </row>
    <row r="107" ht="82" customHeight="1">
      <c r="A107" s="15" t="inlineStr">
        <is>
          <t>R105</t>
        </is>
      </c>
      <c r="B107" s="15" t="inlineStr">
        <is>
          <t>Trees, Parks, Animals &amp; Environment</t>
        </is>
      </c>
      <c r="C107" s="15" t="inlineStr">
        <is>
          <t>Park maintenance issue</t>
        </is>
      </c>
      <c r="D107" s="15" t="inlineStr">
        <is>
          <t>park dirty, grass overgrown, benches damaged</t>
        </is>
      </c>
      <c r="E107" s="15" t="inlineStr">
        <is>
          <t>Identify park custodian</t>
        </is>
      </c>
      <c r="F107" s="16" t="inlineStr">
        <is>
          <t>Relevant GBA City Corporation – Horticulture / Parks</t>
        </is>
      </c>
      <c r="G107" s="17" t="inlineStr">
        <is>
          <t>BSWML / Relevant GBA City Corporation – Solid Waste Management</t>
        </is>
      </c>
      <c r="H107" s="17" t="inlineStr">
        <is>
          <t>SWM for waste/cleaning; Electrical for park lighting; Engineering for structures</t>
        </is>
      </c>
      <c r="I107" s="27" t="inlineStr">
        <is>
          <t>No</t>
        </is>
      </c>
      <c r="J107" s="19" t="inlineStr">
        <is>
          <t>Sahaaya / 1533</t>
        </is>
      </c>
      <c r="K107" s="19" t="inlineStr">
        <is>
          <t>Direct municipal categories + cause routing</t>
        </is>
      </c>
      <c r="L107" s="17" t="inlineStr">
        <is>
          <t>High</t>
        </is>
      </c>
      <c r="M107" s="17" t="inlineStr">
        <is>
          <t>BDA/private/BMRCL park</t>
        </is>
      </c>
      <c r="N107" s="19" t="inlineStr">
        <is>
          <t>S03, S09</t>
        </is>
      </c>
      <c r="O107" s="19" t="inlineStr">
        <is>
          <t>https://sahaaya2.bbmp.gov.in/Grievance/ReviewReport.aspx
https://site.bbmp.gov.in/departmentwebsites/swm/</t>
        </is>
      </c>
      <c r="P107" s="17" t="inlineStr"/>
    </row>
    <row r="108" ht="82" customHeight="1">
      <c r="A108" s="20" t="inlineStr">
        <is>
          <t>R106</t>
        </is>
      </c>
      <c r="B108" s="20" t="inlineStr">
        <is>
          <t>Trees, Parks, Animals &amp; Environment</t>
        </is>
      </c>
      <c r="C108" s="20" t="inlineStr">
        <is>
          <t>Playground equipment or surface damaged</t>
        </is>
      </c>
      <c r="D108" s="20" t="inlineStr">
        <is>
          <t>swing broken, playground unsafe, sports ground damage</t>
        </is>
      </c>
      <c r="E108" s="20" t="inlineStr">
        <is>
          <t>Identify custodian</t>
        </is>
      </c>
      <c r="F108" s="21" t="inlineStr">
        <is>
          <t>Relevant GBA City Corporation – Horticulture / Parks / Education</t>
        </is>
      </c>
      <c r="G108" s="21" t="inlineStr">
        <is>
          <t>Relevant GBA City Corporation – Engineering / Road Infrastructure</t>
        </is>
      </c>
      <c r="H108" s="21" t="inlineStr">
        <is>
          <t>Engineering for structural/civil repair</t>
        </is>
      </c>
      <c r="I108" s="18" t="inlineStr">
        <is>
          <t>Conditional</t>
        </is>
      </c>
      <c r="J108" s="22" t="inlineStr">
        <is>
          <t>Sahaaya</t>
        </is>
      </c>
      <c r="K108" s="22" t="inlineStr">
        <is>
          <t>Municipal category + custodian inference</t>
        </is>
      </c>
      <c r="L108" s="21" t="inlineStr">
        <is>
          <t>Medium</t>
        </is>
      </c>
      <c r="M108" s="21" t="inlineStr">
        <is>
          <t>School/private facility</t>
        </is>
      </c>
      <c r="N108" s="22" t="inlineStr">
        <is>
          <t>S03, S05</t>
        </is>
      </c>
      <c r="O108" s="22" t="inlineStr">
        <is>
          <t>https://sahaaya2.bbmp.gov.in/Grievance/ReviewReport.aspx
https://site.bbmp.gov.in/departmentwebsites/Eng/about.html</t>
        </is>
      </c>
      <c r="P108" s="21" t="inlineStr"/>
    </row>
    <row r="109" ht="82" customHeight="1">
      <c r="A109" s="15" t="inlineStr">
        <is>
          <t>R107</t>
        </is>
      </c>
      <c r="B109" s="15" t="inlineStr">
        <is>
          <t>Trees, Parks, Animals &amp; Environment</t>
        </is>
      </c>
      <c r="C109" s="15" t="inlineStr">
        <is>
          <t>Park lighting not working</t>
        </is>
      </c>
      <c r="D109" s="15" t="inlineStr">
        <is>
          <t>park dark, park lamp off</t>
        </is>
      </c>
      <c r="E109" s="15" t="inlineStr">
        <is>
          <t>Identify park and lighting asset owner</t>
        </is>
      </c>
      <c r="F109" s="16" t="inlineStr">
        <is>
          <t>Relevant GBA City Corporation – Electrical</t>
        </is>
      </c>
      <c r="G109" s="17" t="inlineStr">
        <is>
          <t>Horticulture/Parks; BESCOM</t>
        </is>
      </c>
      <c r="H109" s="17" t="inlineStr">
        <is>
          <t>Park unit confirms asset/access; BESCOM only for feeder supply</t>
        </is>
      </c>
      <c r="I109" s="27" t="inlineStr">
        <is>
          <t>No</t>
        </is>
      </c>
      <c r="J109" s="19" t="inlineStr">
        <is>
          <t>Sahaaya</t>
        </is>
      </c>
      <c r="K109" s="19" t="inlineStr">
        <is>
          <t>Municipal categories + supply distinction</t>
        </is>
      </c>
      <c r="L109" s="17" t="inlineStr">
        <is>
          <t>High</t>
        </is>
      </c>
      <c r="M109" s="17" t="inlineStr">
        <is>
          <t>Private/BDA park</t>
        </is>
      </c>
      <c r="N109" s="19" t="inlineStr">
        <is>
          <t>S03, S15</t>
        </is>
      </c>
      <c r="O109" s="19" t="inlineStr">
        <is>
          <t>https://sahaaya2.bbmp.gov.in/Grievance/ReviewReport.aspx
https://bescom.karnataka.gov.in/301/Contact%20Us/en</t>
        </is>
      </c>
      <c r="P109" s="17" t="inlineStr"/>
    </row>
    <row r="110" ht="82" customHeight="1">
      <c r="A110" s="20" t="inlineStr">
        <is>
          <t>R108</t>
        </is>
      </c>
      <c r="B110" s="20" t="inlineStr">
        <is>
          <t>Trees, Parks, Animals &amp; Environment</t>
        </is>
      </c>
      <c r="C110" s="20" t="inlineStr">
        <is>
          <t>Stray dog complaint</t>
        </is>
      </c>
      <c r="D110" s="20" t="inlineStr">
        <is>
          <t>stray dogs, dog pack, dog bite risk</t>
        </is>
      </c>
      <c r="E110" s="20" t="inlineStr">
        <is>
          <t>Municipal animal-control jurisdiction</t>
        </is>
      </c>
      <c r="F110" s="21" t="inlineStr">
        <is>
          <t>Relevant GBA City Corporation – Animal Husbandry</t>
        </is>
      </c>
      <c r="G110" s="21" t="inlineStr">
        <is>
          <t>Relevant GBA City Corporation – Health</t>
        </is>
      </c>
      <c r="H110" s="21" t="inlineStr">
        <is>
          <t>Health/112 for active bite/medical emergency; SWM if food waste hotspot contributes</t>
        </is>
      </c>
      <c r="I110" s="18" t="inlineStr">
        <is>
          <t>Conditional</t>
        </is>
      </c>
      <c r="J110" s="22" t="inlineStr">
        <is>
          <t>Sahaaya; 112 for immediate attack</t>
        </is>
      </c>
      <c r="K110" s="22" t="inlineStr">
        <is>
          <t>Direct municipal category + emergency inference</t>
        </is>
      </c>
      <c r="L110" s="21" t="inlineStr">
        <is>
          <t>High</t>
        </is>
      </c>
      <c r="M110" s="21" t="inlineStr">
        <is>
          <t>Pet-owner dispute/wild animal</t>
        </is>
      </c>
      <c r="N110" s="22" t="inlineStr">
        <is>
          <t>S03, S24, S09</t>
        </is>
      </c>
      <c r="O110" s="22" t="inlineStr">
        <is>
          <t>https://sahaaya2.bbmp.gov.in/Grievance/ReviewReport.aspx
https://ksfes.karnataka.gov.in/en
https://site.bbmp.gov.in/departmentwebsites/swm/</t>
        </is>
      </c>
      <c r="P110" s="21" t="inlineStr"/>
    </row>
    <row r="111" ht="82" customHeight="1">
      <c r="A111" s="15" t="inlineStr">
        <is>
          <t>R109</t>
        </is>
      </c>
      <c r="B111" s="15" t="inlineStr">
        <is>
          <t>Trees, Parks, Animals &amp; Environment</t>
        </is>
      </c>
      <c r="C111" s="15" t="inlineStr">
        <is>
          <t>Cattle or animal obstructing road</t>
        </is>
      </c>
      <c r="D111" s="15" t="inlineStr">
        <is>
          <t>cow on road, cattle traffic hazard</t>
        </is>
      </c>
      <c r="E111" s="15" t="inlineStr">
        <is>
          <t>Identify animal and immediate risk</t>
        </is>
      </c>
      <c r="F111" s="16" t="inlineStr">
        <is>
          <t>Bengaluru Traffic Police (BTP)</t>
        </is>
      </c>
      <c r="G111" s="17" t="inlineStr">
        <is>
          <t>GBA Animal Husbandry</t>
        </is>
      </c>
      <c r="H111" s="17" t="inlineStr">
        <is>
          <t>BTP handles road safety; Animal Husbandry handles capture/owner issue</t>
        </is>
      </c>
      <c r="I111" s="18" t="inlineStr">
        <is>
          <t>Conditional</t>
        </is>
      </c>
      <c r="J111" s="19" t="inlineStr">
        <is>
          <t>112/BTP + Sahaaya</t>
        </is>
      </c>
      <c r="K111" s="19" t="inlineStr">
        <is>
          <t>Traffic + animal-control routing</t>
        </is>
      </c>
      <c r="L111" s="17" t="inlineStr">
        <is>
          <t>High</t>
        </is>
      </c>
      <c r="M111" s="17" t="inlineStr">
        <is>
          <t>Injured animal/rescue needs specialized service</t>
        </is>
      </c>
      <c r="N111" s="19" t="inlineStr">
        <is>
          <t>S18, S03</t>
        </is>
      </c>
      <c r="O111" s="19" t="inlineStr">
        <is>
          <t>https://btp.karnataka.gov.in/tmc/en
https://sahaaya2.bbmp.gov.in/Grievance/ReviewReport.aspx</t>
        </is>
      </c>
      <c r="P111" s="17" t="inlineStr"/>
    </row>
    <row r="112" ht="82" customHeight="1">
      <c r="A112" s="20" t="inlineStr">
        <is>
          <t>R110</t>
        </is>
      </c>
      <c r="B112" s="20" t="inlineStr">
        <is>
          <t>Trees, Parks, Animals &amp; Environment</t>
        </is>
      </c>
      <c r="C112" s="20" t="inlineStr">
        <is>
          <t>Injured or distressed animal in public place</t>
        </is>
      </c>
      <c r="D112" s="20" t="inlineStr">
        <is>
          <t>injured dog, injured cattle, animal rescue</t>
        </is>
      </c>
      <c r="E112" s="20" t="inlineStr">
        <is>
          <t>Identify species and immediate danger</t>
        </is>
      </c>
      <c r="F112" s="21" t="inlineStr">
        <is>
          <t>Relevant animal-control/rescue authority / GBA Animal Husbandry</t>
        </is>
      </c>
      <c r="G112" s="21" t="inlineStr">
        <is>
          <t>BTP / 112</t>
        </is>
      </c>
      <c r="H112" s="21" t="inlineStr">
        <is>
          <t>BTP if on road; 112 for immediate human danger</t>
        </is>
      </c>
      <c r="I112" s="18" t="inlineStr">
        <is>
          <t>Conditional</t>
        </is>
      </c>
      <c r="J112" s="22" t="inlineStr">
        <is>
          <t>Sahaaya / 112</t>
        </is>
      </c>
      <c r="K112" s="22" t="inlineStr">
        <is>
          <t>Municipal category + emergency inference</t>
        </is>
      </c>
      <c r="L112" s="21" t="inlineStr">
        <is>
          <t>Medium</t>
        </is>
      </c>
      <c r="M112" s="21" t="inlineStr">
        <is>
          <t>Wildlife should route to Forest/wildlife authority</t>
        </is>
      </c>
      <c r="N112" s="22" t="inlineStr">
        <is>
          <t>S03, S24</t>
        </is>
      </c>
      <c r="O112" s="22" t="inlineStr">
        <is>
          <t>https://sahaaya2.bbmp.gov.in/Grievance/ReviewReport.aspx
https://ksfes.karnataka.gov.in/en</t>
        </is>
      </c>
      <c r="P112" s="21" t="inlineStr"/>
    </row>
    <row r="113" ht="82" customHeight="1">
      <c r="A113" s="15" t="inlineStr">
        <is>
          <t>R111</t>
        </is>
      </c>
      <c r="B113" s="15" t="inlineStr">
        <is>
          <t>Trees, Parks, Animals &amp; Environment</t>
        </is>
      </c>
      <c r="C113" s="15" t="inlineStr">
        <is>
          <t>Mosquito or vector-control complaint</t>
        </is>
      </c>
      <c r="D113" s="15" t="inlineStr">
        <is>
          <t>mosquitoes, dengue, fogging request</t>
        </is>
      </c>
      <c r="E113" s="15" t="inlineStr">
        <is>
          <t>Identify breeding source/location</t>
        </is>
      </c>
      <c r="F113" s="16" t="inlineStr">
        <is>
          <t>Relevant GBA City Corporation – Health</t>
        </is>
      </c>
      <c r="G113" s="17" t="inlineStr">
        <is>
          <t>SWD / BWSSB / SWM / Horticulture</t>
        </is>
      </c>
      <c r="H113" s="17" t="inlineStr">
        <is>
          <t>Source-removal task must be assigned to the responsible asset owner</t>
        </is>
      </c>
      <c r="I113" s="27" t="inlineStr">
        <is>
          <t>No</t>
        </is>
      </c>
      <c r="J113" s="19" t="inlineStr">
        <is>
          <t>Sahaaya / health complaint</t>
        </is>
      </c>
      <c r="K113" s="19" t="inlineStr">
        <is>
          <t>Direct municipal health category + cause routing</t>
        </is>
      </c>
      <c r="L113" s="17" t="inlineStr">
        <is>
          <t>High</t>
        </is>
      </c>
      <c r="M113" s="17" t="inlineStr">
        <is>
          <t>Private property access</t>
        </is>
      </c>
      <c r="N113" s="19" t="inlineStr">
        <is>
          <t>S03, S09, S12, S13</t>
        </is>
      </c>
      <c r="O113" s="19" t="inlineStr">
        <is>
          <t>https://sahaaya2.bbmp.gov.in/Grievance/ReviewReport.aspx
https://site.bbmp.gov.in/departmentwebsites/swm/
https://site.bbmp.gov.in/encroachment.html
https://bwssb.karnataka.gov.in/31/About%20BWSSB/en</t>
        </is>
      </c>
      <c r="P113" s="17" t="inlineStr"/>
    </row>
    <row r="114" ht="82" customHeight="1">
      <c r="A114" s="20" t="inlineStr">
        <is>
          <t>R112</t>
        </is>
      </c>
      <c r="B114" s="20" t="inlineStr">
        <is>
          <t>Trees, Parks, Animals &amp; Environment</t>
        </is>
      </c>
      <c r="C114" s="20" t="inlineStr">
        <is>
          <t>Public sanitation or health nuisance</t>
        </is>
      </c>
      <c r="D114" s="20" t="inlineStr">
        <is>
          <t>foul smell, unhygienic premise, open waste, health hazard</t>
        </is>
      </c>
      <c r="E114" s="20" t="inlineStr">
        <is>
          <t>Identify source and establishment/asset owner</t>
        </is>
      </c>
      <c r="F114" s="21" t="inlineStr">
        <is>
          <t>Relevant GBA City Corporation – Health</t>
        </is>
      </c>
      <c r="G114" s="21" t="inlineStr">
        <is>
          <t>SWM / BWSSB / KSPCB / Trade License unit</t>
        </is>
      </c>
      <c r="H114" s="21" t="inlineStr">
        <is>
          <t>Co-route according to waste, sewage, pollution or establishment cause</t>
        </is>
      </c>
      <c r="I114" s="18" t="inlineStr">
        <is>
          <t>Conditional</t>
        </is>
      </c>
      <c r="J114" s="22" t="inlineStr">
        <is>
          <t>Sahaaya</t>
        </is>
      </c>
      <c r="K114" s="22" t="inlineStr">
        <is>
          <t>Direct health category + cause routing</t>
        </is>
      </c>
      <c r="L114" s="21" t="inlineStr">
        <is>
          <t>High</t>
        </is>
      </c>
      <c r="M114" s="21" t="inlineStr">
        <is>
          <t>Medical emergency or hazardous chemical</t>
        </is>
      </c>
      <c r="N114" s="22" t="inlineStr">
        <is>
          <t>S03, S09, S13, S23</t>
        </is>
      </c>
      <c r="O114" s="22" t="inlineStr">
        <is>
          <t>https://sahaaya2.bbmp.gov.in/Grievance/ReviewReport.aspx
https://site.bbmp.gov.in/departmentwebsites/swm/
https://bwssb.karnataka.gov.in/31/About%20BWSSB/en
https://kspcb.karnataka.gov.in/contact-us-0</t>
        </is>
      </c>
      <c r="P114" s="21" t="inlineStr"/>
    </row>
    <row r="115" ht="82" customHeight="1">
      <c r="A115" s="15" t="inlineStr">
        <is>
          <t>R113</t>
        </is>
      </c>
      <c r="B115" s="15" t="inlineStr">
        <is>
          <t>Trees, Parks, Animals &amp; Environment</t>
        </is>
      </c>
      <c r="C115" s="15" t="inlineStr">
        <is>
          <t>Air pollution complaint</t>
        </is>
      </c>
      <c r="D115" s="15" t="inlineStr">
        <is>
          <t>industrial smoke, dust, emissions, toxic fumes</t>
        </is>
      </c>
      <c r="E115" s="15" t="inlineStr">
        <is>
          <t>Identify source and acute risk</t>
        </is>
      </c>
      <c r="F115" s="16" t="inlineStr">
        <is>
          <t>Karnataka State Pollution Control Board (KSPCB)</t>
        </is>
      </c>
      <c r="G115" s="17" t="inlineStr">
        <is>
          <t>GBA Health/Town Planning; Fire/112</t>
        </is>
      </c>
      <c r="H115" s="17" t="inlineStr">
        <is>
          <t>Municipal units for construction/trade/land-use enforcement; 112 for immediate toxic/fire risk</t>
        </is>
      </c>
      <c r="I115" s="18" t="inlineStr">
        <is>
          <t>Conditional</t>
        </is>
      </c>
      <c r="J115" s="19" t="inlineStr">
        <is>
          <t>KSPCB; 112 if acute danger</t>
        </is>
      </c>
      <c r="K115" s="19" t="inlineStr">
        <is>
          <t>Direct KSPCB complaint scope + local enforcement inference</t>
        </is>
      </c>
      <c r="L115" s="17" t="inlineStr">
        <is>
          <t>High</t>
        </is>
      </c>
      <c r="M115" s="17" t="inlineStr">
        <is>
          <t>Vehicle emission/traffic enforcement issue</t>
        </is>
      </c>
      <c r="N115" s="19" t="inlineStr">
        <is>
          <t>S23, S24, S03</t>
        </is>
      </c>
      <c r="O115" s="19" t="inlineStr">
        <is>
          <t>https://kspcb.karnataka.gov.in/contact-us-0
https://ksfes.karnataka.gov.in/en
https://sahaaya2.bbmp.gov.in/Grievance/ReviewReport.aspx</t>
        </is>
      </c>
      <c r="P115" s="17" t="inlineStr"/>
    </row>
    <row r="116" ht="82" customHeight="1">
      <c r="A116" s="20" t="inlineStr">
        <is>
          <t>R114</t>
        </is>
      </c>
      <c r="B116" s="20" t="inlineStr">
        <is>
          <t>Trees, Parks, Animals &amp; Environment</t>
        </is>
      </c>
      <c r="C116" s="20" t="inlineStr">
        <is>
          <t>Noise pollution complaint</t>
        </is>
      </c>
      <c r="D116" s="20" t="inlineStr">
        <is>
          <t>loudspeaker, construction noise, industrial noise</t>
        </is>
      </c>
      <c r="E116" s="20" t="inlineStr">
        <is>
          <t>Identify source, time and immediate public-order issue</t>
        </is>
      </c>
      <c r="F116" s="21" t="inlineStr">
        <is>
          <t>Karnataka State Pollution Control Board (KSPCB)</t>
        </is>
      </c>
      <c r="G116" s="21" t="inlineStr">
        <is>
          <t>Police / GBA Town Planning or Trade License</t>
        </is>
      </c>
      <c r="H116" s="21" t="inlineStr">
        <is>
          <t>Police for immediate public-order enforcement; municipal unit for establishment/site permission</t>
        </is>
      </c>
      <c r="I116" s="18" t="inlineStr">
        <is>
          <t>Conditional</t>
        </is>
      </c>
      <c r="J116" s="22" t="inlineStr">
        <is>
          <t>KSPCB / police/112 as appropriate</t>
        </is>
      </c>
      <c r="K116" s="22" t="inlineStr">
        <is>
          <t>Environmental + enforcement inference</t>
        </is>
      </c>
      <c r="L116" s="21" t="inlineStr">
        <is>
          <t>Medium</t>
        </is>
      </c>
      <c r="M116" s="21" t="inlineStr">
        <is>
          <t>Specific legal time/limit requires validation</t>
        </is>
      </c>
      <c r="N116" s="22" t="inlineStr">
        <is>
          <t>S23, S24, S03</t>
        </is>
      </c>
      <c r="O116" s="22" t="inlineStr">
        <is>
          <t>https://kspcb.karnataka.gov.in/contact-us-0
https://ksfes.karnataka.gov.in/en
https://sahaaya2.bbmp.gov.in/Grievance/ReviewReport.aspx</t>
        </is>
      </c>
      <c r="P116" s="21" t="inlineStr"/>
    </row>
    <row r="117" ht="82" customHeight="1">
      <c r="A117" s="15" t="inlineStr">
        <is>
          <t>R115</t>
        </is>
      </c>
      <c r="B117" s="15" t="inlineStr">
        <is>
          <t>Trees, Parks, Animals &amp; Environment</t>
        </is>
      </c>
      <c r="C117" s="15" t="inlineStr">
        <is>
          <t>Construction dust or debris pollution</t>
        </is>
      </c>
      <c r="D117" s="15" t="inlineStr">
        <is>
          <t>dust cloud, uncovered material, construction pollution</t>
        </is>
      </c>
      <c r="E117" s="15" t="inlineStr">
        <is>
          <t>Identify site and permit authority</t>
        </is>
      </c>
      <c r="F117" s="16" t="inlineStr">
        <is>
          <t>Karnataka State Pollution Control Board (KSPCB)</t>
        </is>
      </c>
      <c r="G117" s="17" t="inlineStr">
        <is>
          <t>Relevant GBA City Corporation – Town Planning; BSWML / Relevant GBA City Corporation – Solid Waste Management</t>
        </is>
      </c>
      <c r="H117" s="17" t="inlineStr">
        <is>
          <t>Town Planning for construction compliance; SWM for C&amp;D waste</t>
        </is>
      </c>
      <c r="I117" s="27" t="inlineStr">
        <is>
          <t>No</t>
        </is>
      </c>
      <c r="J117" s="19" t="inlineStr">
        <is>
          <t>KSPCB + Sahaaya</t>
        </is>
      </c>
      <c r="K117" s="19" t="inlineStr">
        <is>
          <t>Environmental + municipal enforcement inference</t>
        </is>
      </c>
      <c r="L117" s="17" t="inlineStr">
        <is>
          <t>High</t>
        </is>
      </c>
      <c r="M117" s="17" t="inlineStr">
        <is>
          <t>Road project owned by PWD/KRDCL/NHAI/BMRCL</t>
        </is>
      </c>
      <c r="N117" s="19" t="inlineStr">
        <is>
          <t>S23, S03, S09</t>
        </is>
      </c>
      <c r="O117" s="19" t="inlineStr">
        <is>
          <t>https://kspcb.karnataka.gov.in/contact-us-0
https://sahaaya2.bbmp.gov.in/Grievance/ReviewReport.aspx
https://site.bbmp.gov.in/departmentwebsites/swm/</t>
        </is>
      </c>
      <c r="P117" s="17" t="inlineStr"/>
    </row>
    <row r="118" ht="82" customHeight="1">
      <c r="A118" s="20" t="inlineStr">
        <is>
          <t>R116</t>
        </is>
      </c>
      <c r="B118" s="20" t="inlineStr">
        <is>
          <t>Trees, Parks, Animals &amp; Environment</t>
        </is>
      </c>
      <c r="C118" s="20" t="inlineStr">
        <is>
          <t>Open burning of leaves or biomass</t>
        </is>
      </c>
      <c r="D118" s="20" t="inlineStr">
        <is>
          <t>leaves burning, smoke in park/street</t>
        </is>
      </c>
      <c r="E118" s="20" t="inlineStr">
        <is>
          <t>Identify active fire and land custodian</t>
        </is>
      </c>
      <c r="F118" s="21" t="inlineStr">
        <is>
          <t>BSWML / Relevant GBA City Corporation – Solid Waste Management</t>
        </is>
      </c>
      <c r="G118" s="21" t="inlineStr">
        <is>
          <t>KSPCB; Fire/112; Parks unit</t>
        </is>
      </c>
      <c r="H118" s="21" t="inlineStr">
        <is>
          <t>Fire/112 if uncontrolled; KSPCB for pollution; Parks if in park</t>
        </is>
      </c>
      <c r="I118" s="18" t="inlineStr">
        <is>
          <t>Conditional</t>
        </is>
      </c>
      <c r="J118" s="22" t="inlineStr">
        <is>
          <t>101/112 if active danger; Sahaaya/KSPCB</t>
        </is>
      </c>
      <c r="K118" s="22" t="inlineStr">
        <is>
          <t>SWM + pollution + emergency inference</t>
        </is>
      </c>
      <c r="L118" s="21" t="inlineStr">
        <is>
          <t>High</t>
        </is>
      </c>
      <c r="M118" s="21" t="inlineStr">
        <is>
          <t>Industrial or hazardous material</t>
        </is>
      </c>
      <c r="N118" s="22" t="inlineStr">
        <is>
          <t>S09, S23, S24</t>
        </is>
      </c>
      <c r="O118" s="22" t="inlineStr">
        <is>
          <t>https://site.bbmp.gov.in/departmentwebsites/swm/
https://kspcb.karnataka.gov.in/contact-us-0
https://ksfes.karnataka.gov.in/en</t>
        </is>
      </c>
      <c r="P118" s="21" t="inlineStr"/>
    </row>
    <row r="119" ht="82" customHeight="1">
      <c r="A119" s="15" t="inlineStr">
        <is>
          <t>R117</t>
        </is>
      </c>
      <c r="B119" s="15" t="inlineStr">
        <is>
          <t>Trees, Parks, Animals &amp; Environment</t>
        </is>
      </c>
      <c r="C119" s="15" t="inlineStr">
        <is>
          <t>Park or public open-space encroachment</t>
        </is>
      </c>
      <c r="D119" s="15" t="inlineStr">
        <is>
          <t>park occupied, illegal structure in playground</t>
        </is>
      </c>
      <c r="E119" s="15" t="inlineStr">
        <is>
          <t>Identify land custodian/title</t>
        </is>
      </c>
      <c r="F119" s="16" t="inlineStr">
        <is>
          <t>Relevant GBA City Corporation – Estate / Horticulture / Town Planning</t>
        </is>
      </c>
      <c r="G119" s="17" t="inlineStr">
        <is>
          <t>Police/enforcement support</t>
        </is>
      </c>
      <c r="H119" s="17" t="inlineStr">
        <is>
          <t>Route to BDA/other custodian if not municipal land</t>
        </is>
      </c>
      <c r="I119" s="27" t="inlineStr">
        <is>
          <t>No</t>
        </is>
      </c>
      <c r="J119" s="19" t="inlineStr">
        <is>
          <t>Sahaaya / custodian grievance</t>
        </is>
      </c>
      <c r="K119" s="19" t="inlineStr">
        <is>
          <t>Custodian-first routing</t>
        </is>
      </c>
      <c r="L119" s="17" t="inlineStr">
        <is>
          <t>Medium</t>
        </is>
      </c>
      <c r="M119" s="17" t="inlineStr">
        <is>
          <t>Land title and authorized use disputed</t>
        </is>
      </c>
      <c r="N119" s="19" t="inlineStr">
        <is>
          <t>S03, S11</t>
        </is>
      </c>
      <c r="O119" s="19" t="inlineStr">
        <is>
          <t>https://sahaaya2.bbmp.gov.in/Grievance/ReviewReport.aspx
https://site.bbmp.gov.in/departmentwebsites/Lakes/Abstract.html</t>
        </is>
      </c>
      <c r="P119" s="17" t="inlineStr"/>
    </row>
    <row r="120" ht="82" customHeight="1">
      <c r="A120" s="20" t="inlineStr">
        <is>
          <t>R118</t>
        </is>
      </c>
      <c r="B120" s="20" t="inlineStr">
        <is>
          <t>Buildings, Property &amp; Civic Services</t>
        </is>
      </c>
      <c r="C120" s="20" t="inlineStr">
        <is>
          <t>Unauthorized construction</t>
        </is>
      </c>
      <c r="D120" s="20" t="inlineStr">
        <is>
          <t>illegal building, extra floor, setback violation</t>
        </is>
      </c>
      <c r="E120" s="20" t="inlineStr">
        <is>
          <t>Confirm planning jurisdiction and property location</t>
        </is>
      </c>
      <c r="F120" s="21" t="inlineStr">
        <is>
          <t>Relevant GBA City Corporation – Town Planning</t>
        </is>
      </c>
      <c r="G120" s="21" t="inlineStr">
        <is>
          <t>Police/Fire; BMRCL if in metro influence/project zone</t>
        </is>
      </c>
      <c r="H120" s="21" t="inlineStr">
        <is>
          <t>Emergency agencies for collapse/fire risk; BMRCL only for relevant project/influence matters</t>
        </is>
      </c>
      <c r="I120" s="18" t="inlineStr">
        <is>
          <t>Conditional</t>
        </is>
      </c>
      <c r="J120" s="22" t="inlineStr">
        <is>
          <t>Sahaaya / planning complaint</t>
        </is>
      </c>
      <c r="K120" s="22" t="inlineStr">
        <is>
          <t>Direct municipal Town Planning category</t>
        </is>
      </c>
      <c r="L120" s="21" t="inlineStr">
        <is>
          <t>High</t>
        </is>
      </c>
      <c r="M120" s="21" t="inlineStr">
        <is>
          <t>BDA/planning authority jurisdiction differs</t>
        </is>
      </c>
      <c r="N120" s="22" t="inlineStr">
        <is>
          <t>S03, S19, S24</t>
        </is>
      </c>
      <c r="O120" s="22" t="inlineStr">
        <is>
          <t>https://sahaaya2.bbmp.gov.in/Grievance/ReviewReport.aspx
https://english.bmrc.co.in/contact/
https://ksfes.karnataka.gov.in/en</t>
        </is>
      </c>
      <c r="P120" s="21" t="inlineStr"/>
    </row>
    <row r="121" ht="82" customHeight="1">
      <c r="A121" s="24" t="inlineStr">
        <is>
          <t>R119</t>
        </is>
      </c>
      <c r="B121" s="24" t="inlineStr">
        <is>
          <t>Buildings, Property &amp; Civic Services</t>
        </is>
      </c>
      <c r="C121" s="24" t="inlineStr">
        <is>
          <t>Unsafe or dilapidated building</t>
        </is>
      </c>
      <c r="D121" s="24" t="inlineStr">
        <is>
          <t>building may collapse, wall leaning, dangerous structure</t>
        </is>
      </c>
      <c r="E121" s="24" t="inlineStr">
        <is>
          <t>Confirm building/planning jurisdiction</t>
        </is>
      </c>
      <c r="F121" s="25" t="inlineStr">
        <is>
          <t>Relevant GBA City Corporation – Town Planning</t>
        </is>
      </c>
      <c r="G121" s="25" t="inlineStr">
        <is>
          <t>Fire/112; police; GBA Engineering</t>
        </is>
      </c>
      <c r="H121" s="25" t="inlineStr">
        <is>
          <t>Emergency response first if collapse risk; engineering for public-road protection</t>
        </is>
      </c>
      <c r="I121" s="23" t="inlineStr">
        <is>
          <t>Yes</t>
        </is>
      </c>
      <c r="J121" s="26" t="inlineStr">
        <is>
          <t>112 for immediate danger; Sahaaya</t>
        </is>
      </c>
      <c r="K121" s="26" t="inlineStr">
        <is>
          <t>Planning + emergency routing</t>
        </is>
      </c>
      <c r="L121" s="25" t="inlineStr">
        <is>
          <t>High</t>
        </is>
      </c>
      <c r="M121" s="25" t="inlineStr">
        <is>
          <t>Private structural dispute without public risk</t>
        </is>
      </c>
      <c r="N121" s="26" t="inlineStr">
        <is>
          <t>S03, S24, S05</t>
        </is>
      </c>
      <c r="O121" s="26" t="inlineStr">
        <is>
          <t>https://sahaaya2.bbmp.gov.in/Grievance/ReviewReport.aspx
https://ksfes.karnataka.gov.in/en
https://site.bbmp.gov.in/departmentwebsites/Eng/about.html</t>
        </is>
      </c>
      <c r="P121" s="25" t="inlineStr"/>
    </row>
    <row r="122" ht="82" customHeight="1">
      <c r="A122" s="20" t="inlineStr">
        <is>
          <t>R120</t>
        </is>
      </c>
      <c r="B122" s="20" t="inlineStr">
        <is>
          <t>Buildings, Property &amp; Civic Services</t>
        </is>
      </c>
      <c r="C122" s="20" t="inlineStr">
        <is>
          <t>Building collapse or debris trapping people</t>
        </is>
      </c>
      <c r="D122" s="20" t="inlineStr">
        <is>
          <t>building fell, people trapped, wall collapse</t>
        </is>
      </c>
      <c r="E122" s="20" t="inlineStr">
        <is>
          <t>None</t>
        </is>
      </c>
      <c r="F122" s="21" t="inlineStr">
        <is>
          <t>Fire and Emergency Services / 112</t>
        </is>
      </c>
      <c r="G122" s="21" t="inlineStr">
        <is>
          <t>Police; GBA Town Planning/Engineering; SWM for later debris</t>
        </is>
      </c>
      <c r="H122" s="21" t="inlineStr">
        <is>
          <t>Emergency rescue precedes regulatory and cleanup tasks</t>
        </is>
      </c>
      <c r="I122" s="23" t="inlineStr">
        <is>
          <t>Yes</t>
        </is>
      </c>
      <c r="J122" s="22" t="inlineStr">
        <is>
          <t>101/112</t>
        </is>
      </c>
      <c r="K122" s="22" t="inlineStr">
        <is>
          <t>Direct official emergency scope</t>
        </is>
      </c>
      <c r="L122" s="21" t="inlineStr">
        <is>
          <t>High</t>
        </is>
      </c>
      <c r="M122" s="21" t="inlineStr">
        <is>
          <t>None</t>
        </is>
      </c>
      <c r="N122" s="22" t="inlineStr">
        <is>
          <t>S24, S03, S09</t>
        </is>
      </c>
      <c r="O122" s="22" t="inlineStr">
        <is>
          <t>https://ksfes.karnataka.gov.in/en
https://sahaaya2.bbmp.gov.in/Grievance/ReviewReport.aspx
https://site.bbmp.gov.in/departmentwebsites/swm/</t>
        </is>
      </c>
      <c r="P122" s="21" t="inlineStr"/>
    </row>
    <row r="123" ht="82" customHeight="1">
      <c r="A123" s="15" t="inlineStr">
        <is>
          <t>R121</t>
        </is>
      </c>
      <c r="B123" s="15" t="inlineStr">
        <is>
          <t>Buildings, Property &amp; Civic Services</t>
        </is>
      </c>
      <c r="C123" s="15" t="inlineStr">
        <is>
          <t>Building plan approval or licence issue</t>
        </is>
      </c>
      <c r="D123" s="15" t="inlineStr">
        <is>
          <t>plan sanction, building permission, licence</t>
        </is>
      </c>
      <c r="E123" s="15" t="inlineStr">
        <is>
          <t>Confirm planning authority</t>
        </is>
      </c>
      <c r="F123" s="16" t="inlineStr">
        <is>
          <t>Relevant GBA City Corporation – Town Planning</t>
        </is>
      </c>
      <c r="G123" s="17" t="inlineStr">
        <is>
          <t>BDA/BMRCL/other authority if jurisdiction applies</t>
        </is>
      </c>
      <c r="H123" s="17" t="inlineStr">
        <is>
          <t>Single owner after jurisdiction check</t>
        </is>
      </c>
      <c r="I123" s="27" t="inlineStr">
        <is>
          <t>No</t>
        </is>
      </c>
      <c r="J123" s="19" t="inlineStr">
        <is>
          <t>Relevant planning portal/office</t>
        </is>
      </c>
      <c r="K123" s="19" t="inlineStr">
        <is>
          <t>Direct municipal Town Planning category</t>
        </is>
      </c>
      <c r="L123" s="17" t="inlineStr">
        <is>
          <t>High</t>
        </is>
      </c>
      <c r="M123" s="17" t="inlineStr">
        <is>
          <t>Jurisdiction/authority unclear</t>
        </is>
      </c>
      <c r="N123" s="19" t="inlineStr">
        <is>
          <t>S03, S19</t>
        </is>
      </c>
      <c r="O123" s="19" t="inlineStr">
        <is>
          <t>https://sahaaya2.bbmp.gov.in/Grievance/ReviewReport.aspx
https://english.bmrc.co.in/contact/</t>
        </is>
      </c>
      <c r="P123" s="17" t="inlineStr"/>
    </row>
    <row r="124" ht="82" customHeight="1">
      <c r="A124" s="20" t="inlineStr">
        <is>
          <t>R122</t>
        </is>
      </c>
      <c r="B124" s="20" t="inlineStr">
        <is>
          <t>Buildings, Property &amp; Civic Services</t>
        </is>
      </c>
      <c r="C124" s="20" t="inlineStr">
        <is>
          <t>Property tax complaint</t>
        </is>
      </c>
      <c r="D124" s="20" t="inlineStr">
        <is>
          <t>tax payment, wrong assessment, PID, receipt</t>
        </is>
      </c>
      <c r="E124" s="20" t="inlineStr">
        <is>
          <t>Relevant city corporation/property record</t>
        </is>
      </c>
      <c r="F124" s="21" t="inlineStr">
        <is>
          <t>Relevant GBA City Corporation – Revenue / Property Tax / e-Khata</t>
        </is>
      </c>
      <c r="G124" s="21" t="inlineStr">
        <is>
          <t>None</t>
        </is>
      </c>
      <c r="H124" s="21" t="inlineStr">
        <is>
          <t>Single-department revenue issue</t>
        </is>
      </c>
      <c r="I124" s="20" t="inlineStr">
        <is>
          <t>No</t>
        </is>
      </c>
      <c r="J124" s="22" t="inlineStr">
        <is>
          <t>GBA/city corporation e-service</t>
        </is>
      </c>
      <c r="K124" s="22" t="inlineStr">
        <is>
          <t>Direct official Revenue/Property Tax category</t>
        </is>
      </c>
      <c r="L124" s="21" t="inlineStr">
        <is>
          <t>High</t>
        </is>
      </c>
      <c r="M124" s="21" t="inlineStr">
        <is>
          <t>BDA property tax or record mismatch</t>
        </is>
      </c>
      <c r="N124" s="22" t="inlineStr">
        <is>
          <t>S01, S03</t>
        </is>
      </c>
      <c r="O124" s="22" t="inlineStr">
        <is>
          <t>https://www.gba.karnataka.gov.in/
https://sahaaya2.bbmp.gov.in/Grievance/ReviewReport.aspx</t>
        </is>
      </c>
      <c r="P124" s="21" t="inlineStr"/>
    </row>
    <row r="125" ht="82" customHeight="1">
      <c r="A125" s="15" t="inlineStr">
        <is>
          <t>R123</t>
        </is>
      </c>
      <c r="B125" s="15" t="inlineStr">
        <is>
          <t>Buildings, Property &amp; Civic Services</t>
        </is>
      </c>
      <c r="C125" s="15" t="inlineStr">
        <is>
          <t>Khata or e-Khata complaint</t>
        </is>
      </c>
      <c r="D125" s="15" t="inlineStr">
        <is>
          <t>khata transfer, e-khata, certificate issue</t>
        </is>
      </c>
      <c r="E125" s="15" t="inlineStr">
        <is>
          <t>Relevant city corporation/property record</t>
        </is>
      </c>
      <c r="F125" s="16" t="inlineStr">
        <is>
          <t>Relevant GBA City Corporation – Revenue / Property Tax / e-Khata</t>
        </is>
      </c>
      <c r="G125" s="17" t="inlineStr">
        <is>
          <t>Town Planning / Survey/Revenue authority</t>
        </is>
      </c>
      <c r="H125" s="17" t="inlineStr">
        <is>
          <t>Co-route only when planning/land-record validation is required</t>
        </is>
      </c>
      <c r="I125" s="27" t="inlineStr">
        <is>
          <t>No</t>
        </is>
      </c>
      <c r="J125" s="19" t="inlineStr">
        <is>
          <t>GBA/city corporation e-service</t>
        </is>
      </c>
      <c r="K125" s="19" t="inlineStr">
        <is>
          <t>Direct official e-Khata/Khata category</t>
        </is>
      </c>
      <c r="L125" s="17" t="inlineStr">
        <is>
          <t>High</t>
        </is>
      </c>
      <c r="M125" s="17" t="inlineStr">
        <is>
          <t>Title dispute or BDA record</t>
        </is>
      </c>
      <c r="N125" s="19" t="inlineStr">
        <is>
          <t>S01, S03</t>
        </is>
      </c>
      <c r="O125" s="19" t="inlineStr">
        <is>
          <t>https://www.gba.karnataka.gov.in/
https://sahaaya2.bbmp.gov.in/Grievance/ReviewReport.aspx</t>
        </is>
      </c>
      <c r="P125" s="17" t="inlineStr"/>
    </row>
    <row r="126" ht="82" customHeight="1">
      <c r="A126" s="20" t="inlineStr">
        <is>
          <t>R124</t>
        </is>
      </c>
      <c r="B126" s="20" t="inlineStr">
        <is>
          <t>Buildings, Property &amp; Civic Services</t>
        </is>
      </c>
      <c r="C126" s="20" t="inlineStr">
        <is>
          <t>Encroachment of municipal property</t>
        </is>
      </c>
      <c r="D126" s="20" t="inlineStr">
        <is>
          <t>public land occupied, municipal site encroached</t>
        </is>
      </c>
      <c r="E126" s="20" t="inlineStr">
        <is>
          <t>Confirm title/custodian</t>
        </is>
      </c>
      <c r="F126" s="21" t="inlineStr">
        <is>
          <t>Relevant GBA City Corporation – Estate / Revenue</t>
        </is>
      </c>
      <c r="G126" s="21" t="inlineStr">
        <is>
          <t>Town Planning; police/enforcement support</t>
        </is>
      </c>
      <c r="H126" s="21" t="inlineStr">
        <is>
          <t>Planning if illegal construction; police for enforcement support</t>
        </is>
      </c>
      <c r="I126" s="20" t="inlineStr">
        <is>
          <t>No</t>
        </is>
      </c>
      <c r="J126" s="22" t="inlineStr">
        <is>
          <t>Sahaaya / municipal estate complaint</t>
        </is>
      </c>
      <c r="K126" s="22" t="inlineStr">
        <is>
          <t>Direct municipal Estate/Revenue category + enforcement inference</t>
        </is>
      </c>
      <c r="L126" s="21" t="inlineStr">
        <is>
          <t>High</t>
        </is>
      </c>
      <c r="M126" s="21" t="inlineStr">
        <is>
          <t>Land title disputed</t>
        </is>
      </c>
      <c r="N126" s="22" t="inlineStr">
        <is>
          <t>S03</t>
        </is>
      </c>
      <c r="O126" s="22" t="inlineStr">
        <is>
          <t>https://sahaaya2.bbmp.gov.in/Grievance/ReviewReport.aspx</t>
        </is>
      </c>
      <c r="P126" s="21" t="inlineStr"/>
    </row>
    <row r="127" ht="82" customHeight="1">
      <c r="A127" s="15" t="inlineStr">
        <is>
          <t>R125</t>
        </is>
      </c>
      <c r="B127" s="15" t="inlineStr">
        <is>
          <t>Buildings, Property &amp; Civic Services</t>
        </is>
      </c>
      <c r="C127" s="15" t="inlineStr">
        <is>
          <t>Illegal or unauthorized hoarding/advertisement</t>
        </is>
      </c>
      <c r="D127" s="15" t="inlineStr">
        <is>
          <t>illegal billboard, banner, flex, hoarding</t>
        </is>
      </c>
      <c r="E127" s="15" t="inlineStr">
        <is>
          <t>Confirm road/land and advertisement permit authority</t>
        </is>
      </c>
      <c r="F127" s="16" t="inlineStr">
        <is>
          <t>Relevant GBA City Corporation – Advertisement</t>
        </is>
      </c>
      <c r="G127" s="17" t="inlineStr">
        <is>
          <t>Bengaluru Traffic Police (BTP)</t>
        </is>
      </c>
      <c r="H127" s="17" t="inlineStr">
        <is>
          <t>BTP when hoarding blocks sightlines, signals or creates traffic danger</t>
        </is>
      </c>
      <c r="I127" s="18" t="inlineStr">
        <is>
          <t>Conditional</t>
        </is>
      </c>
      <c r="J127" s="19" t="inlineStr">
        <is>
          <t>Sahaaya / BTP</t>
        </is>
      </c>
      <c r="K127" s="19" t="inlineStr">
        <is>
          <t>Direct Advertisement category + traffic inference</t>
        </is>
      </c>
      <c r="L127" s="17" t="inlineStr">
        <is>
          <t>High</t>
        </is>
      </c>
      <c r="M127" s="17" t="inlineStr">
        <is>
          <t>Railway/BMRCL/private property jurisdiction</t>
        </is>
      </c>
      <c r="N127" s="19" t="inlineStr">
        <is>
          <t>S03, S17, S19</t>
        </is>
      </c>
      <c r="O127" s="19" t="inlineStr">
        <is>
          <t>https://sahaaya2.bbmp.gov.in/Grievance/ReviewReport.aspx
https://btp.karnataka.gov.in/200/be-aware-be-smart/en
https://english.bmrc.co.in/contact/</t>
        </is>
      </c>
      <c r="P127" s="17" t="inlineStr"/>
    </row>
    <row r="128" ht="82" customHeight="1">
      <c r="A128" s="20" t="inlineStr">
        <is>
          <t>R126</t>
        </is>
      </c>
      <c r="B128" s="20" t="inlineStr">
        <is>
          <t>Buildings, Property &amp; Civic Services</t>
        </is>
      </c>
      <c r="C128" s="20" t="inlineStr">
        <is>
          <t>Dangerous hoarding or sign structure</t>
        </is>
      </c>
      <c r="D128" s="20" t="inlineStr">
        <is>
          <t>billboard leaning, sign may fall</t>
        </is>
      </c>
      <c r="E128" s="20" t="inlineStr">
        <is>
          <t>Identify permit holder/land owner</t>
        </is>
      </c>
      <c r="F128" s="21" t="inlineStr">
        <is>
          <t>Relevant GBA City Corporation – Advertisement / Engineering</t>
        </is>
      </c>
      <c r="G128" s="21" t="inlineStr">
        <is>
          <t>Fire/112; BTP</t>
        </is>
      </c>
      <c r="H128" s="21" t="inlineStr">
        <is>
          <t>Emergency isolation and traffic control if fall risk</t>
        </is>
      </c>
      <c r="I128" s="23" t="inlineStr">
        <is>
          <t>Yes</t>
        </is>
      </c>
      <c r="J128" s="22" t="inlineStr">
        <is>
          <t>112 if dangerous; Sahaaya</t>
        </is>
      </c>
      <c r="K128" s="22" t="inlineStr">
        <is>
          <t>Municipal category + emergency routing</t>
        </is>
      </c>
      <c r="L128" s="21" t="inlineStr">
        <is>
          <t>High</t>
        </is>
      </c>
      <c r="M128" s="21" t="inlineStr">
        <is>
          <t>Private building sign only</t>
        </is>
      </c>
      <c r="N128" s="22" t="inlineStr">
        <is>
          <t>S03, S18, S24</t>
        </is>
      </c>
      <c r="O128" s="22" t="inlineStr">
        <is>
          <t>https://sahaaya2.bbmp.gov.in/Grievance/ReviewReport.aspx
https://btp.karnataka.gov.in/tmc/en
https://ksfes.karnataka.gov.in/en</t>
        </is>
      </c>
      <c r="P128" s="21" t="inlineStr"/>
    </row>
    <row r="129" ht="82" customHeight="1">
      <c r="A129" s="15" t="inlineStr">
        <is>
          <t>R127</t>
        </is>
      </c>
      <c r="B129" s="15" t="inlineStr">
        <is>
          <t>Buildings, Property &amp; Civic Services</t>
        </is>
      </c>
      <c r="C129" s="15" t="inlineStr">
        <is>
          <t>Market sanitation or waste issue</t>
        </is>
      </c>
      <c r="D129" s="15" t="inlineStr">
        <is>
          <t>market dirty, waste, smell, blocked aisle</t>
        </is>
      </c>
      <c r="E129" s="15" t="inlineStr">
        <is>
          <t>Identify municipal/private market</t>
        </is>
      </c>
      <c r="F129" s="16" t="inlineStr">
        <is>
          <t>Relevant GBA City Corporation – Markets</t>
        </is>
      </c>
      <c r="G129" s="17" t="inlineStr">
        <is>
          <t>BSWML / Relevant GBA City Corporation – Solid Waste Management; Relevant GBA City Corporation – Health</t>
        </is>
      </c>
      <c r="H129" s="17" t="inlineStr">
        <is>
          <t>SWM for waste collection; Health for sanitation/food safety nuisance</t>
        </is>
      </c>
      <c r="I129" s="27" t="inlineStr">
        <is>
          <t>No</t>
        </is>
      </c>
      <c r="J129" s="19" t="inlineStr">
        <is>
          <t>Sahaaya</t>
        </is>
      </c>
      <c r="K129" s="19" t="inlineStr">
        <is>
          <t>Direct Markets/Health/SWM categories</t>
        </is>
      </c>
      <c r="L129" s="17" t="inlineStr">
        <is>
          <t>High</t>
        </is>
      </c>
      <c r="M129" s="17" t="inlineStr">
        <is>
          <t>APMC/private market jurisdiction</t>
        </is>
      </c>
      <c r="N129" s="19" t="inlineStr">
        <is>
          <t>S03, S09</t>
        </is>
      </c>
      <c r="O129" s="19" t="inlineStr">
        <is>
          <t>https://sahaaya2.bbmp.gov.in/Grievance/ReviewReport.aspx
https://site.bbmp.gov.in/departmentwebsites/swm/</t>
        </is>
      </c>
      <c r="P129" s="17" t="inlineStr"/>
    </row>
    <row r="130" ht="82" customHeight="1">
      <c r="A130" s="20" t="inlineStr">
        <is>
          <t>R128</t>
        </is>
      </c>
      <c r="B130" s="20" t="inlineStr">
        <is>
          <t>Buildings, Property &amp; Civic Services</t>
        </is>
      </c>
      <c r="C130" s="20" t="inlineStr">
        <is>
          <t>Trade licence or establishment complaint</t>
        </is>
      </c>
      <c r="D130" s="20" t="inlineStr">
        <is>
          <t>licence issue, shop operating illegally, sanitation at business</t>
        </is>
      </c>
      <c r="E130" s="20" t="inlineStr">
        <is>
          <t>Confirm municipal licensing jurisdiction</t>
        </is>
      </c>
      <c r="F130" s="21" t="inlineStr">
        <is>
          <t>Relevant GBA City Corporation – Health</t>
        </is>
      </c>
      <c r="G130" s="21" t="inlineStr">
        <is>
          <t>Town Planning / Markets / Police</t>
        </is>
      </c>
      <c r="H130" s="21" t="inlineStr">
        <is>
          <t>Route by establishment type and violation</t>
        </is>
      </c>
      <c r="I130" s="20" t="inlineStr">
        <is>
          <t>No</t>
        </is>
      </c>
      <c r="J130" s="22" t="inlineStr">
        <is>
          <t>Sahaaya / municipal licence service</t>
        </is>
      </c>
      <c r="K130" s="22" t="inlineStr">
        <is>
          <t>Municipal Health category + jurisdiction inference</t>
        </is>
      </c>
      <c r="L130" s="21" t="inlineStr">
        <is>
          <t>Medium</t>
        </is>
      </c>
      <c r="M130" s="21" t="inlineStr">
        <is>
          <t>Excise/labour/food-safety authority may own issue</t>
        </is>
      </c>
      <c r="N130" s="22" t="inlineStr">
        <is>
          <t>S03</t>
        </is>
      </c>
      <c r="O130" s="22" t="inlineStr">
        <is>
          <t>https://sahaaya2.bbmp.gov.in/Grievance/ReviewReport.aspx</t>
        </is>
      </c>
      <c r="P130" s="21" t="inlineStr"/>
    </row>
    <row r="131" ht="82" customHeight="1">
      <c r="A131" s="15" t="inlineStr">
        <is>
          <t>R129</t>
        </is>
      </c>
      <c r="B131" s="15" t="inlineStr">
        <is>
          <t>Buildings, Property &amp; Civic Services</t>
        </is>
      </c>
      <c r="C131" s="15" t="inlineStr">
        <is>
          <t>Municipal school infrastructure issue</t>
        </is>
      </c>
      <c r="D131" s="15" t="inlineStr">
        <is>
          <t>municipal school building, toilet, classroom damage</t>
        </is>
      </c>
      <c r="E131" s="15" t="inlineStr">
        <is>
          <t>Confirm school custodian</t>
        </is>
      </c>
      <c r="F131" s="16" t="inlineStr">
        <is>
          <t>Relevant GBA City Corporation – Education</t>
        </is>
      </c>
      <c r="G131" s="17" t="inlineStr">
        <is>
          <t>Engineering / Electrical / SWM / BWSSB</t>
        </is>
      </c>
      <c r="H131" s="17" t="inlineStr">
        <is>
          <t>Create linked facilities task based on defect</t>
        </is>
      </c>
      <c r="I131" s="27" t="inlineStr">
        <is>
          <t>No</t>
        </is>
      </c>
      <c r="J131" s="19" t="inlineStr">
        <is>
          <t>Sahaaya</t>
        </is>
      </c>
      <c r="K131" s="19" t="inlineStr">
        <is>
          <t>Direct municipal Education category + cause routing</t>
        </is>
      </c>
      <c r="L131" s="17" t="inlineStr">
        <is>
          <t>Medium</t>
        </is>
      </c>
      <c r="M131" s="17" t="inlineStr">
        <is>
          <t>State/private school</t>
        </is>
      </c>
      <c r="N131" s="19" t="inlineStr">
        <is>
          <t>S03, S05, S09, S13</t>
        </is>
      </c>
      <c r="O131" s="19" t="inlineStr">
        <is>
          <t>https://sahaaya2.bbmp.gov.in/Grievance/ReviewReport.aspx
https://site.bbmp.gov.in/departmentwebsites/Eng/about.html
https://site.bbmp.gov.in/departmentwebsites/swm/
https://bwssb.karnataka.gov.in/31/About%20BWSSB/en</t>
        </is>
      </c>
      <c r="P131" s="17" t="inlineStr"/>
    </row>
    <row r="132" ht="82" customHeight="1">
      <c r="A132" s="20" t="inlineStr">
        <is>
          <t>R130</t>
        </is>
      </c>
      <c r="B132" s="20" t="inlineStr">
        <is>
          <t>Buildings, Property &amp; Civic Services</t>
        </is>
      </c>
      <c r="C132" s="20" t="inlineStr">
        <is>
          <t>Indira Canteen complaint</t>
        </is>
      </c>
      <c r="D132" s="20" t="inlineStr">
        <is>
          <t>canteen closed, food/service/facility issue</t>
        </is>
      </c>
      <c r="E132" s="20" t="inlineStr">
        <is>
          <t>Confirm facility under municipal program</t>
        </is>
      </c>
      <c r="F132" s="21" t="inlineStr">
        <is>
          <t>Relevant GBA City Corporation – Indira Canteen / Welfare/Health</t>
        </is>
      </c>
      <c r="G132" s="21" t="inlineStr">
        <is>
          <t>SWM / Engineering</t>
        </is>
      </c>
      <c r="H132" s="21" t="inlineStr">
        <is>
          <t>Co-route for waste, sanitation or structural issue</t>
        </is>
      </c>
      <c r="I132" s="20" t="inlineStr">
        <is>
          <t>No</t>
        </is>
      </c>
      <c r="J132" s="22" t="inlineStr">
        <is>
          <t>Sahaaya</t>
        </is>
      </c>
      <c r="K132" s="22" t="inlineStr">
        <is>
          <t>Direct Sahaaya category</t>
        </is>
      </c>
      <c r="L132" s="21" t="inlineStr">
        <is>
          <t>High</t>
        </is>
      </c>
      <c r="M132" s="21" t="inlineStr">
        <is>
          <t>Food-safety emergency</t>
        </is>
      </c>
      <c r="N132" s="22" t="inlineStr">
        <is>
          <t>S03</t>
        </is>
      </c>
      <c r="O132" s="22" t="inlineStr">
        <is>
          <t>https://sahaaya2.bbmp.gov.in/Grievance/ReviewReport.aspx</t>
        </is>
      </c>
      <c r="P132" s="21" t="inlineStr"/>
    </row>
    <row r="133" ht="82" customHeight="1">
      <c r="A133" s="15" t="inlineStr">
        <is>
          <t>R131</t>
        </is>
      </c>
      <c r="B133" s="15" t="inlineStr">
        <is>
          <t>Transport, Metro &amp; Emergency</t>
        </is>
      </c>
      <c r="C133" s="15" t="inlineStr">
        <is>
          <t>BMTC bus service, route, driver or conductor complaint</t>
        </is>
      </c>
      <c r="D133" s="15" t="inlineStr">
        <is>
          <t>bus did not stop, route issue, rude conductor, schedule</t>
        </is>
      </c>
      <c r="E133" s="15" t="inlineStr">
        <is>
          <t>Confirm BMTC service/vehicle</t>
        </is>
      </c>
      <c r="F133" s="16" t="inlineStr">
        <is>
          <t>Bengaluru Metropolitan Transport Corporation (BMTC)</t>
        </is>
      </c>
      <c r="G133" s="17" t="inlineStr">
        <is>
          <t>BTP</t>
        </is>
      </c>
      <c r="H133" s="17" t="inlineStr">
        <is>
          <t>BTP only for a traffic violation, unsafe driving or obstruction</t>
        </is>
      </c>
      <c r="I133" s="18" t="inlineStr">
        <is>
          <t>Conditional</t>
        </is>
      </c>
      <c r="J133" s="19" t="inlineStr">
        <is>
          <t>BMTC complaint; BTP if traffic violation</t>
        </is>
      </c>
      <c r="K133" s="19" t="inlineStr">
        <is>
          <t>Direct official agency scopes</t>
        </is>
      </c>
      <c r="L133" s="17" t="inlineStr">
        <is>
          <t>High</t>
        </is>
      </c>
      <c r="M133" s="17" t="inlineStr">
        <is>
          <t>Private bus/KSRTC service</t>
        </is>
      </c>
      <c r="N133" s="19" t="inlineStr">
        <is>
          <t>S20, S17</t>
        </is>
      </c>
      <c r="O133" s="19" t="inlineStr">
        <is>
          <t>https://mybmtc.karnataka.gov.in/10/complaints/en
https://btp.karnataka.gov.in/200/be-aware-be-smart/en</t>
        </is>
      </c>
      <c r="P133" s="17" t="inlineStr"/>
    </row>
    <row r="134" ht="82" customHeight="1">
      <c r="A134" s="20" t="inlineStr">
        <is>
          <t>R132</t>
        </is>
      </c>
      <c r="B134" s="20" t="inlineStr">
        <is>
          <t>Transport, Metro &amp; Emergency</t>
        </is>
      </c>
      <c r="C134" s="20" t="inlineStr">
        <is>
          <t>Bus stop or shelter damaged</t>
        </is>
      </c>
      <c r="D134" s="20" t="inlineStr">
        <is>
          <t>bus shelter broken, seat damaged, roof leaking</t>
        </is>
      </c>
      <c r="E134" s="20" t="inlineStr">
        <is>
          <t>Mandatory asset-owner lookup: BMTC, city corporation, advertising concessionaire or other agency</t>
        </is>
      </c>
      <c r="F134" s="21" t="inlineStr">
        <is>
          <t>Resolved bus-stop/shelter owner</t>
        </is>
      </c>
      <c r="G134" s="21" t="inlineStr">
        <is>
          <t>Relevant GBA City Corporation – Engineering / Road Infrastructure</t>
        </is>
      </c>
      <c r="H134" s="21" t="inlineStr">
        <is>
          <t>Municipal engineering only when it owns/maintains the civil asset</t>
        </is>
      </c>
      <c r="I134" s="20" t="inlineStr">
        <is>
          <t>No</t>
        </is>
      </c>
      <c r="J134" s="22" t="inlineStr">
        <is>
          <t>BMTC/Sahaaya after ownership check</t>
        </is>
      </c>
      <c r="K134" s="22" t="inlineStr">
        <is>
          <t>Asset-owner-first routing</t>
        </is>
      </c>
      <c r="L134" s="21" t="inlineStr">
        <is>
          <t>Medium</t>
        </is>
      </c>
      <c r="M134" s="21" t="inlineStr">
        <is>
          <t>Ownership/maintenance contract unclear</t>
        </is>
      </c>
      <c r="N134" s="22" t="inlineStr">
        <is>
          <t>S20, S05</t>
        </is>
      </c>
      <c r="O134" s="22" t="inlineStr">
        <is>
          <t>https://mybmtc.karnataka.gov.in/10/complaints/en
https://site.bbmp.gov.in/departmentwebsites/Eng/about.html</t>
        </is>
      </c>
      <c r="P134" s="21" t="inlineStr"/>
    </row>
    <row r="135" ht="82" customHeight="1">
      <c r="A135" s="15" t="inlineStr">
        <is>
          <t>R133</t>
        </is>
      </c>
      <c r="B135" s="15" t="inlineStr">
        <is>
          <t>Transport, Metro &amp; Emergency</t>
        </is>
      </c>
      <c r="C135" s="15" t="inlineStr">
        <is>
          <t>Metro station, security or accessibility issue</t>
        </is>
      </c>
      <c r="D135" s="15" t="inlineStr">
        <is>
          <t>station problem, lift, escalator, security, access</t>
        </is>
      </c>
      <c r="E135" s="15" t="inlineStr">
        <is>
          <t>BMRCL operational asset</t>
        </is>
      </c>
      <c r="F135" s="16" t="inlineStr">
        <is>
          <t>Bangalore Metro Rail Corporation Limited (BMRCL) – Operations &amp; Maintenance</t>
        </is>
      </c>
      <c r="G135" s="17" t="inlineStr">
        <is>
          <t>112/police for emergency</t>
        </is>
      </c>
      <c r="H135" s="17" t="inlineStr">
        <is>
          <t>Emergency route for immediate threat</t>
        </is>
      </c>
      <c r="I135" s="18" t="inlineStr">
        <is>
          <t>Conditional</t>
        </is>
      </c>
      <c r="J135" s="19" t="inlineStr">
        <is>
          <t>BMRCL helpline 1800-425-12345; 112 if emergency</t>
        </is>
      </c>
      <c r="K135" s="19" t="inlineStr">
        <is>
          <t>Direct official BMRCL scope</t>
        </is>
      </c>
      <c r="L135" s="17" t="inlineStr">
        <is>
          <t>High</t>
        </is>
      </c>
      <c r="M135" s="17" t="inlineStr">
        <is>
          <t>Issue outside station boundary</t>
        </is>
      </c>
      <c r="N135" s="19" t="inlineStr">
        <is>
          <t>S19, S24</t>
        </is>
      </c>
      <c r="O135" s="19" t="inlineStr">
        <is>
          <t>https://english.bmrc.co.in/contact/
https://ksfes.karnataka.gov.in/en</t>
        </is>
      </c>
      <c r="P135" s="17" t="inlineStr"/>
    </row>
    <row r="136" ht="82" customHeight="1">
      <c r="A136" s="20" t="inlineStr">
        <is>
          <t>R134</t>
        </is>
      </c>
      <c r="B136" s="20" t="inlineStr">
        <is>
          <t>Transport, Metro &amp; Emergency</t>
        </is>
      </c>
      <c r="C136" s="20" t="inlineStr">
        <is>
          <t>Metro travel, recharge, smart card or token issue</t>
        </is>
      </c>
      <c r="D136" s="20" t="inlineStr">
        <is>
          <t>metro recharge, token, card, fare, travel help</t>
        </is>
      </c>
      <c r="E136" s="20" t="inlineStr">
        <is>
          <t>BMRCL passenger service</t>
        </is>
      </c>
      <c r="F136" s="21" t="inlineStr">
        <is>
          <t>BMRCL – Operations &amp; Maintenance</t>
        </is>
      </c>
      <c r="G136" s="21" t="inlineStr">
        <is>
          <t>None</t>
        </is>
      </c>
      <c r="H136" s="21" t="inlineStr">
        <is>
          <t>Single-department passenger-service issue</t>
        </is>
      </c>
      <c r="I136" s="20" t="inlineStr">
        <is>
          <t>No</t>
        </is>
      </c>
      <c r="J136" s="22" t="inlineStr">
        <is>
          <t>BMRCL helpline / travelhelp</t>
        </is>
      </c>
      <c r="K136" s="22" t="inlineStr">
        <is>
          <t>Direct official BMRCL scope</t>
        </is>
      </c>
      <c r="L136" s="21" t="inlineStr">
        <is>
          <t>High</t>
        </is>
      </c>
      <c r="M136" s="21" t="inlineStr">
        <is>
          <t>Payment provider dispute</t>
        </is>
      </c>
      <c r="N136" s="22" t="inlineStr">
        <is>
          <t>S19</t>
        </is>
      </c>
      <c r="O136" s="22" t="inlineStr">
        <is>
          <t>https://english.bmrc.co.in/contact/</t>
        </is>
      </c>
      <c r="P136" s="21" t="inlineStr"/>
    </row>
    <row r="137" ht="82" customHeight="1">
      <c r="A137" s="15" t="inlineStr">
        <is>
          <t>R135</t>
        </is>
      </c>
      <c r="B137" s="15" t="inlineStr">
        <is>
          <t>Transport, Metro &amp; Emergency</t>
        </is>
      </c>
      <c r="C137" s="15" t="inlineStr">
        <is>
          <t>Metro construction, utility shifting or station-construction grievance</t>
        </is>
      </c>
      <c r="D137" s="15" t="inlineStr">
        <is>
          <t>metro work, tunnelling, barricade, utility shift, construction damage</t>
        </is>
      </c>
      <c r="E137" s="15" t="inlineStr">
        <is>
          <t>Confirm BMRCL project package/contractor</t>
        </is>
      </c>
      <c r="F137" s="16" t="inlineStr">
        <is>
          <t>BMRCL – Projects</t>
        </is>
      </c>
      <c r="G137" s="17" t="inlineStr">
        <is>
          <t>BTP; GBA Road; BWSSB; BESCOM</t>
        </is>
      </c>
      <c r="H137" s="17" t="inlineStr">
        <is>
          <t>Link affected asset owner; BTP for traffic plan; municipal road task for reinstatement where applicable</t>
        </is>
      </c>
      <c r="I137" s="18" t="inlineStr">
        <is>
          <t>Conditional</t>
        </is>
      </c>
      <c r="J137" s="19" t="inlineStr">
        <is>
          <t>BMRCL project grievance + affected agency</t>
        </is>
      </c>
      <c r="K137" s="19" t="inlineStr">
        <is>
          <t>Direct official BMRCL project scope + co-routing</t>
        </is>
      </c>
      <c r="L137" s="17" t="inlineStr">
        <is>
          <t>High</t>
        </is>
      </c>
      <c r="M137" s="17" t="inlineStr">
        <is>
          <t>Project owner may be another authority</t>
        </is>
      </c>
      <c r="N137" s="19" t="inlineStr">
        <is>
          <t>S19, S18, S08</t>
        </is>
      </c>
      <c r="O137" s="19" t="inlineStr">
        <is>
          <t>https://english.bmrc.co.in/contact/
https://btp.karnataka.gov.in/tmc/en
https://site.bbmp.gov.in/departmentwebsites/bbmpit/marcs.html</t>
        </is>
      </c>
      <c r="P137" s="17" t="inlineStr"/>
    </row>
    <row r="138" ht="82" customHeight="1">
      <c r="A138" s="20" t="inlineStr">
        <is>
          <t>R136</t>
        </is>
      </c>
      <c r="B138" s="20" t="inlineStr">
        <is>
          <t>Transport, Metro &amp; Emergency</t>
        </is>
      </c>
      <c r="C138" s="20" t="inlineStr">
        <is>
          <t>National Highway emergency or road assistance</t>
        </is>
      </c>
      <c r="D138" s="20" t="inlineStr">
        <is>
          <t>breakdown on NH, accident, obstruction, highway damage</t>
        </is>
      </c>
      <c r="E138" s="20" t="inlineStr">
        <is>
          <t>Confirm NH/NHAI section</t>
        </is>
      </c>
      <c r="F138" s="21" t="inlineStr">
        <is>
          <t>NHAI / highway concessionaire</t>
        </is>
      </c>
      <c r="G138" s="21" t="inlineStr">
        <is>
          <t>112 / BTP within city</t>
        </is>
      </c>
      <c r="H138" s="21" t="inlineStr">
        <is>
          <t>1033 for highway assistance; 112 for rescue; BTP for city traffic</t>
        </is>
      </c>
      <c r="I138" s="23" t="inlineStr">
        <is>
          <t>Yes</t>
        </is>
      </c>
      <c r="J138" s="22" t="inlineStr">
        <is>
          <t>1033 and 112</t>
        </is>
      </c>
      <c r="K138" s="22" t="inlineStr">
        <is>
          <t>Direct official NHAI/emergency channels</t>
        </is>
      </c>
      <c r="L138" s="21" t="inlineStr">
        <is>
          <t>High</t>
        </is>
      </c>
      <c r="M138" s="21" t="inlineStr">
        <is>
          <t>State/KRDCL road rather than NH</t>
        </is>
      </c>
      <c r="N138" s="22" t="inlineStr">
        <is>
          <t>S25, S24, S18</t>
        </is>
      </c>
      <c r="O138" s="22" t="inlineStr">
        <is>
          <t>https://rajmargyatra.nhai.gov.in/
https://ksfes.karnataka.gov.in/en
https://btp.karnataka.gov.in/tmc/en</t>
        </is>
      </c>
      <c r="P138" s="21" t="inlineStr"/>
    </row>
    <row r="139" ht="82" customHeight="1">
      <c r="A139" s="24" t="inlineStr">
        <is>
          <t>R137</t>
        </is>
      </c>
      <c r="B139" s="24" t="inlineStr">
        <is>
          <t>Transport, Metro &amp; Emergency</t>
        </is>
      </c>
      <c r="C139" s="24" t="inlineStr">
        <is>
          <t>Fire in building, vehicle or public place</t>
        </is>
      </c>
      <c r="D139" s="24" t="inlineStr">
        <is>
          <t>fire, flames, smoke, explosion</t>
        </is>
      </c>
      <c r="E139" s="24" t="inlineStr">
        <is>
          <t>None</t>
        </is>
      </c>
      <c r="F139" s="25" t="inlineStr">
        <is>
          <t>Karnataka Fire and Emergency Services / 112</t>
        </is>
      </c>
      <c r="G139" s="25" t="inlineStr">
        <is>
          <t>Police; relevant utility/asset owner</t>
        </is>
      </c>
      <c r="H139" s="25" t="inlineStr">
        <is>
          <t>Emergency response first; follow-up tasks after scene is safe</t>
        </is>
      </c>
      <c r="I139" s="23" t="inlineStr">
        <is>
          <t>Yes</t>
        </is>
      </c>
      <c r="J139" s="26" t="inlineStr">
        <is>
          <t>101/112</t>
        </is>
      </c>
      <c r="K139" s="26" t="inlineStr">
        <is>
          <t>Direct official emergency scope</t>
        </is>
      </c>
      <c r="L139" s="25" t="inlineStr">
        <is>
          <t>High</t>
        </is>
      </c>
      <c r="M139" s="25" t="inlineStr">
        <is>
          <t>None</t>
        </is>
      </c>
      <c r="N139" s="26" t="inlineStr">
        <is>
          <t>S24</t>
        </is>
      </c>
      <c r="O139" s="26" t="inlineStr">
        <is>
          <t>https://ksfes.karnataka.gov.in/en</t>
        </is>
      </c>
      <c r="P139" s="25" t="inlineStr"/>
    </row>
    <row r="140" ht="82" customHeight="1">
      <c r="A140" s="20" t="inlineStr">
        <is>
          <t>R138</t>
        </is>
      </c>
      <c r="B140" s="20" t="inlineStr">
        <is>
          <t>Transport, Metro &amp; Emergency</t>
        </is>
      </c>
      <c r="C140" s="20" t="inlineStr">
        <is>
          <t>Gas leak or suspected hazardous vapour</t>
        </is>
      </c>
      <c r="D140" s="20" t="inlineStr">
        <is>
          <t>gas smell, LPG leak, chemical vapour</t>
        </is>
      </c>
      <c r="E140" s="20" t="inlineStr">
        <is>
          <t>Identify immediate danger only after emergency dispatch</t>
        </is>
      </c>
      <c r="F140" s="21" t="inlineStr">
        <is>
          <t>Fire and Emergency Services / 112</t>
        </is>
      </c>
      <c r="G140" s="21" t="inlineStr">
        <is>
          <t>Gas utility/provider; KSPCB; police</t>
        </is>
      </c>
      <c r="H140" s="21" t="inlineStr">
        <is>
          <t>Emergency containment first; environmental/provider follow-up</t>
        </is>
      </c>
      <c r="I140" s="23" t="inlineStr">
        <is>
          <t>Yes</t>
        </is>
      </c>
      <c r="J140" s="22" t="inlineStr">
        <is>
          <t>101/112</t>
        </is>
      </c>
      <c r="K140" s="22" t="inlineStr">
        <is>
          <t>Emergency-first routing</t>
        </is>
      </c>
      <c r="L140" s="21" t="inlineStr">
        <is>
          <t>High</t>
        </is>
      </c>
      <c r="M140" s="21" t="inlineStr">
        <is>
          <t>Substance/source unknown</t>
        </is>
      </c>
      <c r="N140" s="22" t="inlineStr">
        <is>
          <t>S24, S23</t>
        </is>
      </c>
      <c r="O140" s="22" t="inlineStr">
        <is>
          <t>https://ksfes.karnataka.gov.in/en
https://kspcb.karnataka.gov.in/contact-us-0</t>
        </is>
      </c>
      <c r="P140" s="21" t="inlineStr"/>
    </row>
    <row r="141" ht="82" customHeight="1">
      <c r="A141" s="24" t="inlineStr">
        <is>
          <t>R139</t>
        </is>
      </c>
      <c r="B141" s="24" t="inlineStr">
        <is>
          <t>Transport, Metro &amp; Emergency</t>
        </is>
      </c>
      <c r="C141" s="24" t="inlineStr">
        <is>
          <t>Person trapped in flood, drain, lift or collapse</t>
        </is>
      </c>
      <c r="D141" s="24" t="inlineStr">
        <is>
          <t>rescue needed, trapped, drowning</t>
        </is>
      </c>
      <c r="E141" s="24" t="inlineStr">
        <is>
          <t>None</t>
        </is>
      </c>
      <c r="F141" s="25" t="inlineStr">
        <is>
          <t>Fire and Emergency Services / 112</t>
        </is>
      </c>
      <c r="G141" s="25" t="inlineStr">
        <is>
          <t>BTP/police; asset owner</t>
        </is>
      </c>
      <c r="H141" s="25" t="inlineStr">
        <is>
          <t>Rescue first; asset repair/inspection later</t>
        </is>
      </c>
      <c r="I141" s="23" t="inlineStr">
        <is>
          <t>Yes</t>
        </is>
      </c>
      <c r="J141" s="26" t="inlineStr">
        <is>
          <t>101/112</t>
        </is>
      </c>
      <c r="K141" s="26" t="inlineStr">
        <is>
          <t>Direct official emergency scope</t>
        </is>
      </c>
      <c r="L141" s="25" t="inlineStr">
        <is>
          <t>High</t>
        </is>
      </c>
      <c r="M141" s="25" t="inlineStr">
        <is>
          <t>None</t>
        </is>
      </c>
      <c r="N141" s="26" t="inlineStr">
        <is>
          <t>S24</t>
        </is>
      </c>
      <c r="O141" s="26" t="inlineStr">
        <is>
          <t>https://ksfes.karnataka.gov.in/en</t>
        </is>
      </c>
      <c r="P141" s="25" t="inlineStr"/>
    </row>
    <row r="142" ht="82" customHeight="1">
      <c r="A142" s="20" t="inlineStr">
        <is>
          <t>R140</t>
        </is>
      </c>
      <c r="B142" s="20" t="inlineStr">
        <is>
          <t>Transport, Metro &amp; Emergency</t>
        </is>
      </c>
      <c r="C142" s="20" t="inlineStr">
        <is>
          <t>Immediate electrocution risk in public place</t>
        </is>
      </c>
      <c r="D142" s="20" t="inlineStr">
        <is>
          <t>person shocked, live wire near people</t>
        </is>
      </c>
      <c r="E142" s="20" t="inlineStr">
        <is>
          <t>Identify only enough to dispatch safely</t>
        </is>
      </c>
      <c r="F142" s="21" t="inlineStr">
        <is>
          <t>Bangalore Electricity Supply Company (BESCOM)</t>
        </is>
      </c>
      <c r="G142" s="21" t="inlineStr">
        <is>
          <t>Fire/112; BTP; civic asset owner</t>
        </is>
      </c>
      <c r="H142" s="21" t="inlineStr">
        <is>
          <t>Emergency medical/rescue and area isolation first</t>
        </is>
      </c>
      <c r="I142" s="23" t="inlineStr">
        <is>
          <t>Yes</t>
        </is>
      </c>
      <c r="J142" s="22" t="inlineStr">
        <is>
          <t>1912 and 112</t>
        </is>
      </c>
      <c r="K142" s="22" t="inlineStr">
        <is>
          <t>Electrical + emergency routing</t>
        </is>
      </c>
      <c r="L142" s="21" t="inlineStr">
        <is>
          <t>High</t>
        </is>
      </c>
      <c r="M142" s="21" t="inlineStr">
        <is>
          <t>Asset owner unclear</t>
        </is>
      </c>
      <c r="N142" s="22" t="inlineStr">
        <is>
          <t>S15, S24, S18</t>
        </is>
      </c>
      <c r="O142" s="22" t="inlineStr">
        <is>
          <t>https://bescom.karnataka.gov.in/301/Contact%20Us/en
https://ksfes.karnataka.gov.in/en
https://btp.karnataka.gov.in/tmc/en</t>
        </is>
      </c>
      <c r="P142" s="21" t="inlineStr"/>
    </row>
  </sheetData>
  <autoFilter ref="A2:P142"/>
  <mergeCells count="1">
    <mergeCell ref="A1:P1"/>
  </mergeCell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32" customWidth="1" min="4" max="4"/>
    <col width="18" customWidth="1" min="5" max="5"/>
    <col width="58" customWidth="1" min="6" max="6"/>
  </cols>
  <sheetData>
    <row r="1" ht="28" customHeight="1">
      <c r="A1" s="1" t="inlineStr">
        <is>
          <t>Agency and Department Directory</t>
        </is>
      </c>
    </row>
    <row r="2" ht="34" customHeight="1">
      <c r="A2" s="6" t="inlineStr">
        <is>
          <t>Agency / Login Role</t>
        </is>
      </c>
      <c r="B2" s="6" t="inlineStr">
        <is>
          <t>Primary Scope</t>
        </is>
      </c>
      <c r="C2" s="6" t="inlineStr">
        <is>
          <t>Routing Boundary / Caveat</t>
        </is>
      </c>
      <c r="D2" s="6" t="inlineStr">
        <is>
          <t>Official Intake</t>
        </is>
      </c>
      <c r="E2" s="6" t="inlineStr">
        <is>
          <t>Source IDs</t>
        </is>
      </c>
      <c r="F2" s="6" t="inlineStr">
        <is>
          <t>Official Source URLs</t>
        </is>
      </c>
    </row>
    <row r="3" ht="70" customHeight="1">
      <c r="A3" s="15" t="inlineStr">
        <is>
          <t>GBA / five city corporations</t>
        </is>
      </c>
      <c r="B3" s="19" t="inlineStr">
        <is>
          <t>Umbrella and municipal grievance routing</t>
        </is>
      </c>
      <c r="C3" s="16" t="inlineStr">
        <is>
          <t>Central, North, East, South and West city corporations; civic services and department/ward routing</t>
        </is>
      </c>
      <c r="D3" s="19" t="inlineStr">
        <is>
          <t>Sahaaya 2.0 / 1533 / official e-services</t>
        </is>
      </c>
      <c r="E3" s="19" t="inlineStr">
        <is>
          <t>S01, S02, S03</t>
        </is>
      </c>
      <c r="F3" s="19" t="inlineStr">
        <is>
          <t>https://www.gba.karnataka.gov.in/
https://gba.karnataka.gov.in/gba-corporations-delimitation-2025/index.html
https://sahaaya2.bbmp.gov.in/Grievance/ReviewReport.aspx</t>
        </is>
      </c>
    </row>
    <row r="4" ht="70" customHeight="1">
      <c r="A4" s="20" t="inlineStr">
        <is>
          <t>Municipal Engineering / Road Infrastructure</t>
        </is>
      </c>
      <c r="B4" s="22" t="inlineStr">
        <is>
          <t>Municipal roads, footpaths, civil assets and basic infrastructure</t>
        </is>
      </c>
      <c r="C4" s="21" t="inlineStr">
        <is>
          <t>Local/ward roads after owner verification</t>
        </is>
      </c>
      <c r="D4" s="22" t="inlineStr">
        <is>
          <t>Sahaaya / 1533</t>
        </is>
      </c>
      <c r="E4" s="22" t="inlineStr">
        <is>
          <t>S03, S05, S06</t>
        </is>
      </c>
      <c r="F4" s="22" t="inlineStr">
        <is>
          <t>https://sahaaya2.bbmp.gov.in/Grievance/ReviewReport.aspx
https://site.bbmp.gov.in/departmentwebsites/Eng/about.html
https://site.bbmp.gov.in/departmentwebsites/Eng/indexEnglish.html</t>
        </is>
      </c>
    </row>
    <row r="5" ht="70" customHeight="1">
      <c r="A5" s="15" t="inlineStr">
        <is>
          <t>Municipal Major Roads</t>
        </is>
      </c>
      <c r="B5" s="19" t="inlineStr">
        <is>
          <t>Arterial/sub-arterial and designated major roads</t>
        </is>
      </c>
      <c r="C5" s="16" t="inlineStr">
        <is>
          <t>Only after road hierarchy/owner verification</t>
        </is>
      </c>
      <c r="D5" s="19" t="inlineStr">
        <is>
          <t>Sahaaya / 1533</t>
        </is>
      </c>
      <c r="E5" s="19" t="inlineStr">
        <is>
          <t>S03, S06, S26</t>
        </is>
      </c>
      <c r="F5" s="19" t="inlineStr">
        <is>
          <t>https://sahaaya2.bbmp.gov.in/Grievance/ReviewReport.aspx
https://site.bbmp.gov.in/departmentwebsites/Eng/indexEnglish.html
https://site.bbmp.gov.in/departmentwebsites/Eng/ofc.html</t>
        </is>
      </c>
    </row>
    <row r="6" ht="70" customHeight="1">
      <c r="A6" s="20" t="inlineStr">
        <is>
          <t>Municipal Duct/OFC/MARCS</t>
        </is>
      </c>
      <c r="B6" s="22" t="inlineStr">
        <is>
          <t>Road-cut permissions and restoration coordination</t>
        </is>
      </c>
      <c r="C6" s="21" t="inlineStr">
        <is>
          <t>Utility and telecom works in municipal limits</t>
        </is>
      </c>
      <c r="D6" s="22" t="inlineStr">
        <is>
          <t>Municipal engineering/OFC workflow</t>
        </is>
      </c>
      <c r="E6" s="22" t="inlineStr">
        <is>
          <t>S07, S08, S26</t>
        </is>
      </c>
      <c r="F6" s="22" t="inlineStr">
        <is>
          <t>https://site.bbmp.gov.in/departmentwebsites/Eng/EngDuct.html
https://site.bbmp.gov.in/departmentwebsites/bbmpit/marcs.html
https://site.bbmp.gov.in/departmentwebsites/Eng/ofc.html</t>
        </is>
      </c>
    </row>
    <row r="7" ht="70" customHeight="1">
      <c r="A7" s="15" t="inlineStr">
        <is>
          <t>Municipal SWD</t>
        </is>
      </c>
      <c r="B7" s="19" t="inlineStr">
        <is>
          <t>Storm-water drains, rajakaluves and flooding related to drainage</t>
        </is>
      </c>
      <c r="C7" s="16" t="inlineStr">
        <is>
          <t>Do not confuse with BWSSB sewers</t>
        </is>
      </c>
      <c r="D7" s="19" t="inlineStr">
        <is>
          <t>Sahaaya / 1533</t>
        </is>
      </c>
      <c r="E7" s="19" t="inlineStr">
        <is>
          <t>S03, S06, S12</t>
        </is>
      </c>
      <c r="F7" s="19" t="inlineStr">
        <is>
          <t>https://sahaaya2.bbmp.gov.in/Grievance/ReviewReport.aspx
https://site.bbmp.gov.in/departmentwebsites/Eng/indexEnglish.html
https://site.bbmp.gov.in/encroachment.html</t>
        </is>
      </c>
    </row>
    <row r="8" ht="70" customHeight="1">
      <c r="A8" s="20" t="inlineStr">
        <is>
          <t>BSWML / Municipal SWM</t>
        </is>
      </c>
      <c r="B8" s="22" t="inlineStr">
        <is>
          <t>Waste collection, sweeping, dumping, public sanitation and waste streams</t>
        </is>
      </c>
      <c r="C8" s="21" t="inlineStr">
        <is>
          <t>Facility ownership may change the first assignee</t>
        </is>
      </c>
      <c r="D8" s="22" t="inlineStr">
        <is>
          <t>Sahaaya / 1533</t>
        </is>
      </c>
      <c r="E8" s="22" t="inlineStr">
        <is>
          <t>S09, S03</t>
        </is>
      </c>
      <c r="F8" s="22" t="inlineStr">
        <is>
          <t>https://site.bbmp.gov.in/departmentwebsites/swm/
https://sahaaya2.bbmp.gov.in/Grievance/ReviewReport.aspx</t>
        </is>
      </c>
    </row>
    <row r="9" ht="70" customHeight="1">
      <c r="A9" s="15" t="inlineStr">
        <is>
          <t>Municipal Electrical</t>
        </is>
      </c>
      <c r="B9" s="19" t="inlineStr">
        <is>
          <t>Municipal streetlights and related fixtures</t>
        </is>
      </c>
      <c r="C9" s="16" t="inlineStr">
        <is>
          <t>BESCOM owns external distribution supply</t>
        </is>
      </c>
      <c r="D9" s="19" t="inlineStr">
        <is>
          <t>Sahaaya / Fix My Street</t>
        </is>
      </c>
      <c r="E9" s="19" t="inlineStr">
        <is>
          <t>S03, S04</t>
        </is>
      </c>
      <c r="F9" s="19" t="inlineStr">
        <is>
          <t>https://sahaaya2.bbmp.gov.in/Grievance/ReviewReport.aspx
https://site.bbmp.gov.in/departmentwebsites/BBMPIT/fms.html</t>
        </is>
      </c>
    </row>
    <row r="10" ht="70" customHeight="1">
      <c r="A10" s="20" t="inlineStr">
        <is>
          <t>Municipal Lakes / actual lake custodian</t>
        </is>
      </c>
      <c r="B10" s="22" t="inlineStr">
        <is>
          <t>Lake protection, restoration, encroachment and amenities</t>
        </is>
      </c>
      <c r="C10" s="21" t="inlineStr">
        <is>
          <t>Custody varies; check lake owner before routing</t>
        </is>
      </c>
      <c r="D10" s="22" t="inlineStr">
        <is>
          <t>Sahaaya / custodian office</t>
        </is>
      </c>
      <c r="E10" s="22" t="inlineStr">
        <is>
          <t>S10, S11</t>
        </is>
      </c>
      <c r="F10" s="22" t="inlineStr">
        <is>
          <t>https://site.bbmp.gov.in/departmentwebsites/lakes/Activities.html
https://site.bbmp.gov.in/departmentwebsites/Lakes/Abstract.html</t>
        </is>
      </c>
    </row>
    <row r="11" ht="70" customHeight="1">
      <c r="A11" s="15" t="inlineStr">
        <is>
          <t>Municipal Forest/Horticulture/Parks</t>
        </is>
      </c>
      <c r="B11" s="19" t="inlineStr">
        <is>
          <t>Public trees, parks and playgrounds</t>
        </is>
      </c>
      <c r="C11" s="16" t="inlineStr">
        <is>
          <t>Custodian may be BDA/Forest/BMRCL/private</t>
        </is>
      </c>
      <c r="D11" s="19" t="inlineStr">
        <is>
          <t>Sahaaya / 1533</t>
        </is>
      </c>
      <c r="E11" s="19" t="inlineStr">
        <is>
          <t>S03</t>
        </is>
      </c>
      <c r="F11" s="19" t="inlineStr">
        <is>
          <t>https://sahaaya2.bbmp.gov.in/Grievance/ReviewReport.aspx</t>
        </is>
      </c>
    </row>
    <row r="12" ht="70" customHeight="1">
      <c r="A12" s="20" t="inlineStr">
        <is>
          <t>Municipal Health / Animal Husbandry</t>
        </is>
      </c>
      <c r="B12" s="22" t="inlineStr">
        <is>
          <t>Public health, vector control, sanitation nuisance and animal complaints</t>
        </is>
      </c>
      <c r="C12" s="21" t="inlineStr">
        <is>
          <t>Cause-owner child task may also be required</t>
        </is>
      </c>
      <c r="D12" s="22" t="inlineStr">
        <is>
          <t>Sahaaya</t>
        </is>
      </c>
      <c r="E12" s="22" t="inlineStr">
        <is>
          <t>S03</t>
        </is>
      </c>
      <c r="F12" s="22" t="inlineStr">
        <is>
          <t>https://sahaaya2.bbmp.gov.in/Grievance/ReviewReport.aspx</t>
        </is>
      </c>
    </row>
    <row r="13" ht="70" customHeight="1">
      <c r="A13" s="15" t="inlineStr">
        <is>
          <t>Municipal Town Planning / Revenue / Estate / Advertisement / Markets / Education</t>
        </is>
      </c>
      <c r="B13" s="19" t="inlineStr">
        <is>
          <t>Planning, tax/khata, public property, hoardings, markets and municipal schools</t>
        </is>
      </c>
      <c r="C13" s="16" t="inlineStr">
        <is>
          <t>Use normalized sub-role per complaint</t>
        </is>
      </c>
      <c r="D13" s="19" t="inlineStr">
        <is>
          <t>Sahaaya / official e-services</t>
        </is>
      </c>
      <c r="E13" s="19" t="inlineStr">
        <is>
          <t>S01, S03</t>
        </is>
      </c>
      <c r="F13" s="19" t="inlineStr">
        <is>
          <t>https://www.gba.karnataka.gov.in/
https://sahaaya2.bbmp.gov.in/Grievance/ReviewReport.aspx</t>
        </is>
      </c>
    </row>
    <row r="14" ht="70" customHeight="1">
      <c r="A14" s="20" t="inlineStr">
        <is>
          <t>BWSSB</t>
        </is>
      </c>
      <c r="B14" s="22" t="inlineStr">
        <is>
          <t>Water supply, sewerage, sewage treatment and water charges</t>
        </is>
      </c>
      <c r="C14" s="21" t="inlineStr">
        <is>
          <t>Use RR number and location where available</t>
        </is>
      </c>
      <c r="D14" s="22" t="inlineStr">
        <is>
          <t>BWSSB CRM / 1916</t>
        </is>
      </c>
      <c r="E14" s="22" t="inlineStr">
        <is>
          <t>S13, S14</t>
        </is>
      </c>
      <c r="F14" s="22" t="inlineStr">
        <is>
          <t>https://bwssb.karnataka.gov.in/31/About%20BWSSB/en
https://cms.bwssb.gov.in/module/complain/new_complaint</t>
        </is>
      </c>
    </row>
    <row r="15" ht="70" customHeight="1">
      <c r="A15" s="15" t="inlineStr">
        <is>
          <t>BESCOM</t>
        </is>
      </c>
      <c r="B15" s="19" t="inlineStr">
        <is>
          <t>Electricity distribution, outages, transformers, live wires, meter/billing and connections</t>
        </is>
      </c>
      <c r="C15" s="16" t="inlineStr">
        <is>
          <t>Use 1912; emergency electrical hazards may also require 112</t>
        </is>
      </c>
      <c r="D15" s="19" t="inlineStr">
        <is>
          <t>1912 / online complaint</t>
        </is>
      </c>
      <c r="E15" s="19" t="inlineStr">
        <is>
          <t>S15, S16</t>
        </is>
      </c>
      <c r="F15" s="19" t="inlineStr">
        <is>
          <t>https://bescom.karnataka.gov.in/301/Contact%20Us/en
https://www.bescom.co.in/</t>
        </is>
      </c>
    </row>
    <row r="16" ht="70" customHeight="1">
      <c r="A16" s="20" t="inlineStr">
        <is>
          <t>Bengaluru Traffic Police</t>
        </is>
      </c>
      <c r="B16" s="22" t="inlineStr">
        <is>
          <t>Traffic violations, congestion, signals, crashes, breakdowns and traffic control</t>
        </is>
      </c>
      <c r="C16" s="21" t="inlineStr">
        <is>
          <t>Does not replace the infrastructure repair owner</t>
        </is>
      </c>
      <c r="D16" s="22" t="inlineStr">
        <is>
          <t>ASTraM / website / 112</t>
        </is>
      </c>
      <c r="E16" s="22" t="inlineStr">
        <is>
          <t>S17, S18</t>
        </is>
      </c>
      <c r="F16" s="22" t="inlineStr">
        <is>
          <t>https://btp.karnataka.gov.in/200/be-aware-be-smart/en
https://btp.karnataka.gov.in/tmc/en</t>
        </is>
      </c>
    </row>
    <row r="17" ht="70" customHeight="1">
      <c r="A17" s="15" t="inlineStr">
        <is>
          <t>BMRCL</t>
        </is>
      </c>
      <c r="B17" s="19" t="inlineStr">
        <is>
          <t>Metro operations and project construction/utility shifting</t>
        </is>
      </c>
      <c r="C17" s="16" t="inlineStr">
        <is>
          <t>Separate O&amp;M from Projects</t>
        </is>
      </c>
      <c r="D17" s="19" t="inlineStr">
        <is>
          <t>1800-425-12345 / project contact</t>
        </is>
      </c>
      <c r="E17" s="19" t="inlineStr">
        <is>
          <t>S19</t>
        </is>
      </c>
      <c r="F17" s="19" t="inlineStr">
        <is>
          <t>https://english.bmrc.co.in/contact/</t>
        </is>
      </c>
    </row>
    <row r="18" ht="70" customHeight="1">
      <c r="A18" s="20" t="inlineStr">
        <is>
          <t>BMTC</t>
        </is>
      </c>
      <c r="B18" s="22" t="inlineStr">
        <is>
          <t>BMTC bus service, route, driver and conductor complaints</t>
        </is>
      </c>
      <c r="C18" s="21" t="inlineStr">
        <is>
          <t>Traffic violations additionally route to BTP</t>
        </is>
      </c>
      <c r="D18" s="22" t="inlineStr">
        <is>
          <t>BMTC complaint page</t>
        </is>
      </c>
      <c r="E18" s="22" t="inlineStr">
        <is>
          <t>S20</t>
        </is>
      </c>
      <c r="F18" s="22" t="inlineStr">
        <is>
          <t>https://mybmtc.karnataka.gov.in/10/complaints/en</t>
        </is>
      </c>
    </row>
    <row r="19" ht="70" customHeight="1">
      <c r="A19" s="15" t="inlineStr">
        <is>
          <t>Karnataka PWD</t>
        </is>
      </c>
      <c r="B19" s="19" t="inlineStr">
        <is>
          <t>PWD/state road and bridge assets</t>
        </is>
      </c>
      <c r="C19" s="16" t="inlineStr">
        <is>
          <t>Route only after ownership confirmation</t>
        </is>
      </c>
      <c r="D19" s="19" t="inlineStr">
        <is>
          <t>PWD feedback</t>
        </is>
      </c>
      <c r="E19" s="19" t="inlineStr">
        <is>
          <t>S21</t>
        </is>
      </c>
      <c r="F19" s="19" t="inlineStr">
        <is>
          <t>https://kpwd.karnataka.gov.in/feedback/en</t>
        </is>
      </c>
    </row>
    <row r="20" ht="70" customHeight="1">
      <c r="A20" s="20" t="inlineStr">
        <is>
          <t>KRDCL</t>
        </is>
      </c>
      <c r="B20" s="22" t="inlineStr">
        <is>
          <t>KRDCL road/bridge/project assets</t>
        </is>
      </c>
      <c r="C20" s="21" t="inlineStr">
        <is>
          <t>Route only after project ownership confirmation</t>
        </is>
      </c>
      <c r="D20" s="22" t="inlineStr">
        <is>
          <t>KRDCL complaint</t>
        </is>
      </c>
      <c r="E20" s="22" t="inlineStr">
        <is>
          <t>S22</t>
        </is>
      </c>
      <c r="F20" s="22" t="inlineStr">
        <is>
          <t>https://www.krdcl.in/en/complaint</t>
        </is>
      </c>
    </row>
    <row r="21" ht="70" customHeight="1">
      <c r="A21" s="15" t="inlineStr">
        <is>
          <t>KSPCB</t>
        </is>
      </c>
      <c r="B21" s="19" t="inlineStr">
        <is>
          <t>Air, water, noise and hazardous/industrial pollution</t>
        </is>
      </c>
      <c r="C21" s="16" t="inlineStr">
        <is>
          <t>Emergency spills/fires also require 112/101</t>
        </is>
      </c>
      <c r="D21" s="19" t="inlineStr">
        <is>
          <t>KSPCB complaint contacts</t>
        </is>
      </c>
      <c r="E21" s="19" t="inlineStr">
        <is>
          <t>S23</t>
        </is>
      </c>
      <c r="F21" s="19" t="inlineStr">
        <is>
          <t>https://kspcb.karnataka.gov.in/contact-us-0</t>
        </is>
      </c>
    </row>
    <row r="22" ht="70" customHeight="1">
      <c r="A22" s="20" t="inlineStr">
        <is>
          <t>Karnataka Fire and Emergency Services</t>
        </is>
      </c>
      <c r="B22" s="22" t="inlineStr">
        <is>
          <t>Fire, rescue, collapse, trapping and immediate life safety</t>
        </is>
      </c>
      <c r="C22" s="21" t="inlineStr">
        <is>
          <t>Emergency response must precede routine civic routing</t>
        </is>
      </c>
      <c r="D22" s="22" t="inlineStr">
        <is>
          <t>101 / 112</t>
        </is>
      </c>
      <c r="E22" s="22" t="inlineStr">
        <is>
          <t>S24</t>
        </is>
      </c>
      <c r="F22" s="22" t="inlineStr">
        <is>
          <t>https://ksfes.karnataka.gov.in/en</t>
        </is>
      </c>
    </row>
    <row r="23" ht="70" customHeight="1">
      <c r="A23" s="15" t="inlineStr">
        <is>
          <t>NHAI / highway concessionaire</t>
        </is>
      </c>
      <c r="B23" s="19" t="inlineStr">
        <is>
          <t>National Highway road issues and highway assistance</t>
        </is>
      </c>
      <c r="C23" s="16" t="inlineStr">
        <is>
          <t>Confirm NH ownership and section</t>
        </is>
      </c>
      <c r="D23" s="19" t="inlineStr">
        <is>
          <t>1033 / RajmargYatra</t>
        </is>
      </c>
      <c r="E23" s="19" t="inlineStr">
        <is>
          <t>S25</t>
        </is>
      </c>
      <c r="F23" s="19" t="inlineStr">
        <is>
          <t>https://rajmargyatra.nhai.gov.in/</t>
        </is>
      </c>
    </row>
    <row r="24" ht="70" customHeight="1">
      <c r="A24" s="20" t="inlineStr">
        <is>
          <t>BDA / other custodian</t>
        </is>
      </c>
      <c r="B24" s="22" t="inlineStr">
        <is>
          <t>BDA layouts, certain lakes, parks and assets where ownership remains with BDA</t>
        </is>
      </c>
      <c r="C24" s="21" t="inlineStr">
        <is>
          <t>Public complaint routing needs asset-level verification</t>
        </is>
      </c>
      <c r="D24" s="22" t="inlineStr">
        <is>
          <t>Owner-specific grievance channel</t>
        </is>
      </c>
      <c r="E24" s="22" t="inlineStr">
        <is>
          <t>S11</t>
        </is>
      </c>
      <c r="F24" s="22" t="inlineStr">
        <is>
          <t>https://site.bbmp.gov.in/departmentwebsites/Lakes/Abstract.html</t>
        </is>
      </c>
    </row>
  </sheetData>
  <autoFilter ref="A2:F24"/>
  <mergeCells count="1">
    <mergeCell ref="A1:F1"/>
  </mergeCell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30" customWidth="1" min="4" max="4"/>
    <col width="60" customWidth="1" min="5" max="5"/>
    <col width="20" customWidth="1" min="6" max="6"/>
    <col width="58" customWidth="1" min="7" max="7"/>
  </cols>
  <sheetData>
    <row r="1" ht="28" customHeight="1">
      <c r="A1" s="1" t="inlineStr">
        <is>
          <t>Explicit Multi-Department Routing Rules</t>
        </is>
      </c>
    </row>
    <row r="2" ht="34" customHeight="1">
      <c r="A2" s="6" t="inlineStr">
        <is>
          <t>Scenario</t>
        </is>
      </c>
      <c r="B2" s="6" t="inlineStr">
        <is>
          <t>Primary Task</t>
        </is>
      </c>
      <c r="C2" s="6" t="inlineStr">
        <is>
          <t>Linked Task 1</t>
        </is>
      </c>
      <c r="D2" s="6" t="inlineStr">
        <is>
          <t>Linked Task 2 / Emergency</t>
        </is>
      </c>
      <c r="E2" s="6" t="inlineStr">
        <is>
          <t>Recommended Dependency / Rule</t>
        </is>
      </c>
      <c r="F2" s="6" t="inlineStr">
        <is>
          <t>Source IDs</t>
        </is>
      </c>
      <c r="G2" s="6" t="inlineStr">
        <is>
          <t>Official Source URLs</t>
        </is>
      </c>
    </row>
    <row r="3" ht="68" customHeight="1">
      <c r="A3" s="15" t="inlineStr">
        <is>
          <t>Utility road cut</t>
        </is>
      </c>
      <c r="B3" s="16" t="inlineStr">
        <is>
          <t>Utility owner (BWSSB/BESCOM/telecom/BMRCL)</t>
        </is>
      </c>
      <c r="C3" s="16" t="inlineStr">
        <is>
          <t>City corporation Engineering/Road Infrastructure</t>
        </is>
      </c>
      <c r="D3" s="16" t="inlineStr">
        <is>
          <t>BTP</t>
        </is>
      </c>
      <c r="E3" s="16" t="inlineStr">
        <is>
          <t>Repair utility → inspect work → restore road; add BTP if lane/footpath is obstructed.</t>
        </is>
      </c>
      <c r="F3" s="19" t="inlineStr">
        <is>
          <t>S07, S08</t>
        </is>
      </c>
      <c r="G3" s="19" t="inlineStr">
        <is>
          <t>https://site.bbmp.gov.in/departmentwebsites/Eng/EngDuct.html
https://site.bbmp.gov.in/departmentwebsites/bbmpit/marcs.html</t>
        </is>
      </c>
    </row>
    <row r="4" ht="68" customHeight="1">
      <c r="A4" s="20" t="inlineStr">
        <is>
          <t>Water leak creates pothole/sinkhole</t>
        </is>
      </c>
      <c r="B4" s="21" t="inlineStr">
        <is>
          <t>BWSSB</t>
        </is>
      </c>
      <c r="C4" s="21" t="inlineStr">
        <is>
          <t>City corporation Road Infrastructure</t>
        </is>
      </c>
      <c r="D4" s="21" t="inlineStr">
        <is>
          <t>BTP/112</t>
        </is>
      </c>
      <c r="E4" s="21" t="inlineStr">
        <is>
          <t>Stop leak before road closure; BTP/112 for immediate hazard.</t>
        </is>
      </c>
      <c r="F4" s="22" t="inlineStr">
        <is>
          <t>S08, S13, S18, S24</t>
        </is>
      </c>
      <c r="G4" s="22" t="inlineStr">
        <is>
          <t>https://site.bbmp.gov.in/departmentwebsites/bbmpit/marcs.html
https://bwssb.karnataka.gov.in/31/About%20BWSSB/en
https://btp.karnataka.gov.in/tmc/en
https://ksfes.karnataka.gov.in/en</t>
        </is>
      </c>
    </row>
    <row r="5" ht="68" customHeight="1">
      <c r="A5" s="15" t="inlineStr">
        <is>
          <t>Sewage overflow on road</t>
        </is>
      </c>
      <c r="B5" s="16" t="inlineStr">
        <is>
          <t>BWSSB</t>
        </is>
      </c>
      <c r="C5" s="16" t="inlineStr">
        <is>
          <t>City corporation Health/Road</t>
        </is>
      </c>
      <c r="D5" s="16" t="inlineStr">
        <is>
          <t>BTP</t>
        </is>
      </c>
      <c r="E5" s="16" t="inlineStr">
        <is>
          <t>Stop sewage source; sanitation/road cleanup; traffic control if obstructing.</t>
        </is>
      </c>
      <c r="F5" s="19" t="inlineStr">
        <is>
          <t>S13, S03, S18</t>
        </is>
      </c>
      <c r="G5" s="19" t="inlineStr">
        <is>
          <t>https://bwssb.karnataka.gov.in/31/About%20BWSSB/en
https://sahaaya2.bbmp.gov.in/Grievance/ReviewReport.aspx
https://btp.karnataka.gov.in/tmc/en</t>
        </is>
      </c>
    </row>
    <row r="6" ht="68" customHeight="1">
      <c r="A6" s="20" t="inlineStr">
        <is>
          <t>Sewage in storm drain</t>
        </is>
      </c>
      <c r="B6" s="21" t="inlineStr">
        <is>
          <t>BWSSB</t>
        </is>
      </c>
      <c r="C6" s="21" t="inlineStr">
        <is>
          <t>City corporation SWD</t>
        </is>
      </c>
      <c r="D6" s="21" t="inlineStr">
        <is>
          <t>KSPCB</t>
        </is>
      </c>
      <c r="E6" s="21" t="inlineStr">
        <is>
          <t>Stop illegal sewage connection/source and restore storm-drain flow; KSPCB if pollution/industrial discharge.</t>
        </is>
      </c>
      <c r="F6" s="22" t="inlineStr">
        <is>
          <t>S12, S13, S23</t>
        </is>
      </c>
      <c r="G6" s="22" t="inlineStr">
        <is>
          <t>https://site.bbmp.gov.in/encroachment.html
https://bwssb.karnataka.gov.in/31/About%20BWSSB/en
https://kspcb.karnataka.gov.in/contact-us-0</t>
        </is>
      </c>
    </row>
    <row r="7" ht="68" customHeight="1">
      <c r="A7" s="15" t="inlineStr">
        <is>
          <t>Sewage entering lake</t>
        </is>
      </c>
      <c r="B7" s="16" t="inlineStr">
        <is>
          <t>BWSSB</t>
        </is>
      </c>
      <c r="C7" s="16" t="inlineStr">
        <is>
          <t>Lake custodian</t>
        </is>
      </c>
      <c r="D7" s="16" t="inlineStr">
        <is>
          <t>KSPCB</t>
        </is>
      </c>
      <c r="E7" s="16" t="inlineStr">
        <is>
          <t>Stop inflow, remediate lake, investigate pollution.</t>
        </is>
      </c>
      <c r="F7" s="19" t="inlineStr">
        <is>
          <t>S10, S11, S13, S23</t>
        </is>
      </c>
      <c r="G7" s="19" t="inlineStr">
        <is>
          <t>https://site.bbmp.gov.in/departmentwebsites/lakes/Activities.html
https://site.bbmp.gov.in/departmentwebsites/Lakes/Abstract.html
https://bwssb.karnataka.gov.in/31/About%20BWSSB/en
https://kspcb.karnataka.gov.in/contact-us-0</t>
        </is>
      </c>
    </row>
    <row r="8" ht="68" customHeight="1">
      <c r="A8" s="20" t="inlineStr">
        <is>
          <t>Garbage blocking drain</t>
        </is>
      </c>
      <c r="B8" s="21" t="inlineStr">
        <is>
          <t>SWM/BSWML</t>
        </is>
      </c>
      <c r="C8" s="21" t="inlineStr">
        <is>
          <t>SWD</t>
        </is>
      </c>
      <c r="D8" s="21" t="inlineStr"/>
      <c r="E8" s="21" t="inlineStr">
        <is>
          <t>Remove waste and clear/desilt drain through linked child tasks.</t>
        </is>
      </c>
      <c r="F8" s="22" t="inlineStr">
        <is>
          <t>S09, S12</t>
        </is>
      </c>
      <c r="G8" s="22" t="inlineStr">
        <is>
          <t>https://site.bbmp.gov.in/departmentwebsites/swm/
https://site.bbmp.gov.in/encroachment.html</t>
        </is>
      </c>
    </row>
    <row r="9" ht="68" customHeight="1">
      <c r="A9" s="15" t="inlineStr">
        <is>
          <t>Road flooding</t>
        </is>
      </c>
      <c r="B9" s="16" t="inlineStr">
        <is>
          <t>SWD</t>
        </is>
      </c>
      <c r="C9" s="16" t="inlineStr">
        <is>
          <t>Road Infrastructure</t>
        </is>
      </c>
      <c r="D9" s="16" t="inlineStr">
        <is>
          <t>BTP/BWSSB</t>
        </is>
      </c>
      <c r="E9" s="16" t="inlineStr">
        <is>
          <t>SWD clears flow; Road fixes gradient/surface; BTP closes road; BWSSB if sewage/pipeline source.</t>
        </is>
      </c>
      <c r="F9" s="19" t="inlineStr">
        <is>
          <t>S06, S12, S13, S18</t>
        </is>
      </c>
      <c r="G9" s="19" t="inlineStr">
        <is>
          <t>https://site.bbmp.gov.in/departmentwebsites/Eng/indexEnglish.html
https://site.bbmp.gov.in/encroachment.html
https://bwssb.karnataka.gov.in/31/About%20BWSSB/en
https://btp.karnataka.gov.in/tmc/en</t>
        </is>
      </c>
    </row>
    <row r="10" ht="68" customHeight="1">
      <c r="A10" s="20" t="inlineStr">
        <is>
          <t>Fallen tree on road</t>
        </is>
      </c>
      <c r="B10" s="21" t="inlineStr">
        <is>
          <t>Forest/Horticulture</t>
        </is>
      </c>
      <c r="C10" s="21" t="inlineStr">
        <is>
          <t>BTP</t>
        </is>
      </c>
      <c r="D10" s="21" t="inlineStr">
        <is>
          <t>BESCOM/112</t>
        </is>
      </c>
      <c r="E10" s="21" t="inlineStr">
        <is>
          <t>Traffic isolation; tree removal; BESCOM makes lines safe; rescue if needed.</t>
        </is>
      </c>
      <c r="F10" s="22" t="inlineStr">
        <is>
          <t>S03, S15, S18, S24</t>
        </is>
      </c>
      <c r="G10" s="22" t="inlineStr">
        <is>
          <t>https://sahaaya2.bbmp.gov.in/Grievance/ReviewReport.aspx
https://bescom.karnataka.gov.in/301/Contact%20Us/en
https://btp.karnataka.gov.in/tmc/en
https://ksfes.karnataka.gov.in/en</t>
        </is>
      </c>
    </row>
    <row r="11" ht="68" customHeight="1">
      <c r="A11" s="15" t="inlineStr">
        <is>
          <t>Tree touching electric line</t>
        </is>
      </c>
      <c r="B11" s="16" t="inlineStr">
        <is>
          <t>BESCOM</t>
        </is>
      </c>
      <c r="C11" s="16" t="inlineStr">
        <is>
          <t>Forest/Horticulture</t>
        </is>
      </c>
      <c r="D11" s="16" t="inlineStr">
        <is>
          <t>112</t>
        </is>
      </c>
      <c r="E11" s="16" t="inlineStr">
        <is>
          <t>Electrical isolation first, then authorized pruning/removal.</t>
        </is>
      </c>
      <c r="F11" s="19" t="inlineStr">
        <is>
          <t>S15, S03, S24</t>
        </is>
      </c>
      <c r="G11" s="19" t="inlineStr">
        <is>
          <t>https://bescom.karnataka.gov.in/301/Contact%20Us/en
https://sahaaya2.bbmp.gov.in/Grievance/ReviewReport.aspx
https://ksfes.karnataka.gov.in/en</t>
        </is>
      </c>
    </row>
    <row r="12" ht="68" customHeight="1">
      <c r="A12" s="20" t="inlineStr">
        <is>
          <t>Streetlight outage</t>
        </is>
      </c>
      <c r="B12" s="21" t="inlineStr">
        <is>
          <t>Municipal Electrical</t>
        </is>
      </c>
      <c r="C12" s="21" t="inlineStr">
        <is>
          <t>BESCOM</t>
        </is>
      </c>
      <c r="D12" s="21" t="inlineStr"/>
      <c r="E12" s="21" t="inlineStr">
        <is>
          <t>Municipal unit owns fixture/controller; BESCOM only for feeder/supply failure.</t>
        </is>
      </c>
      <c r="F12" s="22" t="inlineStr">
        <is>
          <t>S03, S15</t>
        </is>
      </c>
      <c r="G12" s="22" t="inlineStr">
        <is>
          <t>https://sahaaya2.bbmp.gov.in/Grievance/ReviewReport.aspx
https://bescom.karnataka.gov.in/301/Contact%20Us/en</t>
        </is>
      </c>
    </row>
    <row r="13" ht="68" customHeight="1">
      <c r="A13" s="15" t="inlineStr">
        <is>
          <t>Traffic signal outage</t>
        </is>
      </c>
      <c r="B13" s="16" t="inlineStr">
        <is>
          <t>BTP</t>
        </is>
      </c>
      <c r="C13" s="16" t="inlineStr">
        <is>
          <t>BESCOM</t>
        </is>
      </c>
      <c r="D13" s="16" t="inlineStr"/>
      <c r="E13" s="16" t="inlineStr">
        <is>
          <t>BTP owns signal operation; BESCOM only if external supply failed.</t>
        </is>
      </c>
      <c r="F13" s="19" t="inlineStr">
        <is>
          <t>S18, S15</t>
        </is>
      </c>
      <c r="G13" s="19" t="inlineStr">
        <is>
          <t>https://btp.karnataka.gov.in/tmc/en
https://bescom.karnataka.gov.in/301/Contact%20Us/en</t>
        </is>
      </c>
    </row>
    <row r="14" ht="68" customHeight="1">
      <c r="A14" s="20" t="inlineStr">
        <is>
          <t>Open manhole on carriageway</t>
        </is>
      </c>
      <c r="B14" s="21" t="inlineStr">
        <is>
          <t>BWSSB or identified chamber owner</t>
        </is>
      </c>
      <c r="C14" s="21" t="inlineStr">
        <is>
          <t>BTP</t>
        </is>
      </c>
      <c r="D14" s="21" t="inlineStr">
        <is>
          <t>112</t>
        </is>
      </c>
      <c r="E14" s="21" t="inlineStr">
        <is>
          <t>Barricade immediately; repair by asset owner; reroute if SWD/electric/telecom chamber.</t>
        </is>
      </c>
      <c r="F14" s="22" t="inlineStr">
        <is>
          <t>S13, S15, S18, S24</t>
        </is>
      </c>
      <c r="G14" s="22" t="inlineStr">
        <is>
          <t>https://bwssb.karnataka.gov.in/31/About%20BWSSB/en
https://bescom.karnataka.gov.in/301/Contact%20Us/en
https://btp.karnataka.gov.in/tmc/en
https://ksfes.karnataka.gov.in/en</t>
        </is>
      </c>
    </row>
    <row r="15" ht="68" customHeight="1">
      <c r="A15" s="15" t="inlineStr">
        <is>
          <t>Metro construction damages road/utility</t>
        </is>
      </c>
      <c r="B15" s="16" t="inlineStr">
        <is>
          <t>BMRCL Projects</t>
        </is>
      </c>
      <c r="C15" s="16" t="inlineStr">
        <is>
          <t>Affected utility or city corporation</t>
        </is>
      </c>
      <c r="D15" s="16" t="inlineStr">
        <is>
          <t>BTP</t>
        </is>
      </c>
      <c r="E15" s="16" t="inlineStr">
        <is>
          <t>BMRCL/project contractor owns works; affected owner restores/validates asset; BTP manages traffic.</t>
        </is>
      </c>
      <c r="F15" s="19" t="inlineStr">
        <is>
          <t>S19, S08, S18</t>
        </is>
      </c>
      <c r="G15" s="19" t="inlineStr">
        <is>
          <t>https://english.bmrc.co.in/contact/
https://site.bbmp.gov.in/departmentwebsites/bbmpit/marcs.html
https://btp.karnataka.gov.in/tmc/en</t>
        </is>
      </c>
    </row>
    <row r="16" ht="68" customHeight="1">
      <c r="A16" s="20" t="inlineStr">
        <is>
          <t>Roadside encroachment blocks traffic</t>
        </is>
      </c>
      <c r="B16" s="21" t="inlineStr">
        <is>
          <t>Municipal Estate/Engineering/Markets</t>
        </is>
      </c>
      <c r="C16" s="21" t="inlineStr">
        <is>
          <t>BTP</t>
        </is>
      </c>
      <c r="D16" s="21" t="inlineStr">
        <is>
          <t>Police</t>
        </is>
      </c>
      <c r="E16" s="21" t="inlineStr">
        <is>
          <t>Municipal unit handles encroachment; BTP handles traffic; police supports enforcement when required.</t>
        </is>
      </c>
      <c r="F16" s="22" t="inlineStr">
        <is>
          <t>S03, S17, S18</t>
        </is>
      </c>
      <c r="G16" s="22" t="inlineStr">
        <is>
          <t>https://sahaaya2.bbmp.gov.in/Grievance/ReviewReport.aspx
https://btp.karnataka.gov.in/200/be-aware-be-smart/en
https://btp.karnataka.gov.in/tmc/en</t>
        </is>
      </c>
    </row>
    <row r="17" ht="68" customHeight="1">
      <c r="A17" s="15" t="inlineStr">
        <is>
          <t>Hoarding obstructs signal/visibility</t>
        </is>
      </c>
      <c r="B17" s="16" t="inlineStr">
        <is>
          <t>Municipal Advertisement</t>
        </is>
      </c>
      <c r="C17" s="16" t="inlineStr">
        <is>
          <t>BTP</t>
        </is>
      </c>
      <c r="D17" s="16" t="inlineStr">
        <is>
          <t>112 if collapse risk</t>
        </is>
      </c>
      <c r="E17" s="16" t="inlineStr">
        <is>
          <t>Advertisement unit handles permit/removal; BTP handles traffic safety.</t>
        </is>
      </c>
      <c r="F17" s="19" t="inlineStr">
        <is>
          <t>S03, S17, S24</t>
        </is>
      </c>
      <c r="G17" s="19" t="inlineStr">
        <is>
          <t>https://sahaaya2.bbmp.gov.in/Grievance/ReviewReport.aspx
https://btp.karnataka.gov.in/200/be-aware-be-smart/en
https://ksfes.karnataka.gov.in/en</t>
        </is>
      </c>
    </row>
    <row r="18" ht="68" customHeight="1">
      <c r="A18" s="20" t="inlineStr">
        <is>
          <t>C&amp;D waste on road</t>
        </is>
      </c>
      <c r="B18" s="21" t="inlineStr">
        <is>
          <t>SWM/BSWML</t>
        </is>
      </c>
      <c r="C18" s="21" t="inlineStr">
        <is>
          <t>Engineering/Town Planning</t>
        </is>
      </c>
      <c r="D18" s="21" t="inlineStr">
        <is>
          <t>BTP</t>
        </is>
      </c>
      <c r="E18" s="21" t="inlineStr">
        <is>
          <t>Remove waste; enforce against project/site; manage obstruction.</t>
        </is>
      </c>
      <c r="F18" s="22" t="inlineStr">
        <is>
          <t>S09, S03, S18</t>
        </is>
      </c>
      <c r="G18" s="22" t="inlineStr">
        <is>
          <t>https://site.bbmp.gov.in/departmentwebsites/swm/
https://sahaaya2.bbmp.gov.in/Grievance/ReviewReport.aspx
https://btp.karnataka.gov.in/tmc/en</t>
        </is>
      </c>
    </row>
    <row r="19" ht="68" customHeight="1">
      <c r="A19" s="15" t="inlineStr">
        <is>
          <t>Garbage or sewage in public toilet</t>
        </is>
      </c>
      <c r="B19" s="16" t="inlineStr">
        <is>
          <t>Facility custodian/SWM</t>
        </is>
      </c>
      <c r="C19" s="16" t="inlineStr">
        <is>
          <t>BWSSB</t>
        </is>
      </c>
      <c r="D19" s="16" t="inlineStr">
        <is>
          <t>Health</t>
        </is>
      </c>
      <c r="E19" s="16" t="inlineStr">
        <is>
          <t>Separate cleaning/operations, sewer repair and health inspection.</t>
        </is>
      </c>
      <c r="F19" s="19" t="inlineStr">
        <is>
          <t>S09, S13, S03</t>
        </is>
      </c>
      <c r="G19" s="19" t="inlineStr">
        <is>
          <t>https://site.bbmp.gov.in/departmentwebsites/swm/
https://bwssb.karnataka.gov.in/31/About%20BWSSB/en
https://sahaaya2.bbmp.gov.in/Grievance/ReviewReport.aspx</t>
        </is>
      </c>
    </row>
    <row r="20" ht="68" customHeight="1">
      <c r="A20" s="20" t="inlineStr">
        <is>
          <t>Lake garbage/pollution</t>
        </is>
      </c>
      <c r="B20" s="21" t="inlineStr">
        <is>
          <t>Lake custodian</t>
        </is>
      </c>
      <c r="C20" s="21" t="inlineStr">
        <is>
          <t>SWM or BWSSB</t>
        </is>
      </c>
      <c r="D20" s="21" t="inlineStr">
        <is>
          <t>KSPCB</t>
        </is>
      </c>
      <c r="E20" s="21" t="inlineStr">
        <is>
          <t>Custodian remediates; source department stops waste/sewage; KSPCB handles pollution oversight.</t>
        </is>
      </c>
      <c r="F20" s="22" t="inlineStr">
        <is>
          <t>S10, S11, S09, S13, S23</t>
        </is>
      </c>
      <c r="G20" s="22" t="inlineStr">
        <is>
          <t>https://site.bbmp.gov.in/departmentwebsites/lakes/Activities.html
https://site.bbmp.gov.in/departmentwebsites/Lakes/Abstract.html
https://site.bbmp.gov.in/departmentwebsites/swm/
https://bwssb.karnataka.gov.in/31/About%20BWSSB/en
https://kspcb.karnataka.gov.in/contact-us-0</t>
        </is>
      </c>
    </row>
    <row r="21" ht="68" customHeight="1">
      <c r="A21" s="15" t="inlineStr">
        <is>
          <t>Road accident damages civic asset</t>
        </is>
      </c>
      <c r="B21" s="16" t="inlineStr">
        <is>
          <t>BTP/112</t>
        </is>
      </c>
      <c r="C21" s="16" t="inlineStr">
        <is>
          <t>Asset owner</t>
        </is>
      </c>
      <c r="D21" s="16" t="inlineStr"/>
      <c r="E21" s="16" t="inlineStr">
        <is>
          <t>Emergency/traffic response first, then repair signal, median, pole, railing or road.</t>
        </is>
      </c>
      <c r="F21" s="19" t="inlineStr">
        <is>
          <t>S18, S24</t>
        </is>
      </c>
      <c r="G21" s="19" t="inlineStr">
        <is>
          <t>https://btp.karnataka.gov.in/tmc/en
https://ksfes.karnataka.gov.in/en</t>
        </is>
      </c>
    </row>
    <row r="22" ht="68" customHeight="1">
      <c r="A22" s="20" t="inlineStr">
        <is>
          <t>Power pole falls on road</t>
        </is>
      </c>
      <c r="B22" s="21" t="inlineStr">
        <is>
          <t>BESCOM</t>
        </is>
      </c>
      <c r="C22" s="21" t="inlineStr">
        <is>
          <t>BTP</t>
        </is>
      </c>
      <c r="D22" s="21" t="inlineStr">
        <is>
          <t>Road Infrastructure/112</t>
        </is>
      </c>
      <c r="E22" s="21" t="inlineStr">
        <is>
          <t>Make electricity safe, close road, repair road surface after pole removal.</t>
        </is>
      </c>
      <c r="F22" s="22" t="inlineStr">
        <is>
          <t>S15, S18, S24</t>
        </is>
      </c>
      <c r="G22" s="22" t="inlineStr">
        <is>
          <t>https://bescom.karnataka.gov.in/301/Contact%20Us/en
https://btp.karnataka.gov.in/tmc/en
https://ksfes.karnataka.gov.in/en</t>
        </is>
      </c>
    </row>
    <row r="23" ht="68" customHeight="1">
      <c r="A23" s="15" t="inlineStr">
        <is>
          <t>Animal/carcass on carriageway</t>
        </is>
      </c>
      <c r="B23" s="16" t="inlineStr">
        <is>
          <t>BTP</t>
        </is>
      </c>
      <c r="C23" s="16" t="inlineStr">
        <is>
          <t>Animal Husbandry/SWM</t>
        </is>
      </c>
      <c r="D23" s="16" t="inlineStr"/>
      <c r="E23" s="16" t="inlineStr">
        <is>
          <t>BTP secures road; animal unit/SWM removes or handles animal.</t>
        </is>
      </c>
      <c r="F23" s="19" t="inlineStr">
        <is>
          <t>S18, S03, S09</t>
        </is>
      </c>
      <c r="G23" s="19" t="inlineStr">
        <is>
          <t>https://btp.karnataka.gov.in/tmc/en
https://sahaaya2.bbmp.gov.in/Grievance/ReviewReport.aspx
https://site.bbmp.gov.in/departmentwebsites/swm/</t>
        </is>
      </c>
    </row>
    <row r="24" ht="68" customHeight="1">
      <c r="A24" s="20" t="inlineStr">
        <is>
          <t>Unsafe building affects public road</t>
        </is>
      </c>
      <c r="B24" s="21" t="inlineStr">
        <is>
          <t>Town Planning</t>
        </is>
      </c>
      <c r="C24" s="21" t="inlineStr">
        <is>
          <t>Fire/112</t>
        </is>
      </c>
      <c r="D24" s="21" t="inlineStr">
        <is>
          <t>Engineering/BTP</t>
        </is>
      </c>
      <c r="E24" s="21" t="inlineStr">
        <is>
          <t>Emergency protection first; regulatory action and public-road barricading follow.</t>
        </is>
      </c>
      <c r="F24" s="22" t="inlineStr">
        <is>
          <t>S03, S24, S05, S18</t>
        </is>
      </c>
      <c r="G24" s="22" t="inlineStr">
        <is>
          <t>https://sahaaya2.bbmp.gov.in/Grievance/ReviewReport.aspx
https://ksfes.karnataka.gov.in/en
https://site.bbmp.gov.in/departmentwebsites/Eng/about.html
https://btp.karnataka.gov.in/tmc/en</t>
        </is>
      </c>
    </row>
    <row r="25" ht="68" customHeight="1">
      <c r="A25" s="15" t="inlineStr">
        <is>
          <t>Construction pollution</t>
        </is>
      </c>
      <c r="B25" s="16" t="inlineStr">
        <is>
          <t>KSPCB</t>
        </is>
      </c>
      <c r="C25" s="16" t="inlineStr">
        <is>
          <t>Town Planning/SWM</t>
        </is>
      </c>
      <c r="D25" s="16" t="inlineStr">
        <is>
          <t>Project owner</t>
        </is>
      </c>
      <c r="E25" s="16" t="inlineStr">
        <is>
          <t>Pollution investigation plus site-permit and C&amp;D-waste enforcement.</t>
        </is>
      </c>
      <c r="F25" s="19" t="inlineStr">
        <is>
          <t>S23, S03, S09</t>
        </is>
      </c>
      <c r="G25" s="19" t="inlineStr">
        <is>
          <t>https://kspcb.karnataka.gov.in/contact-us-0
https://sahaaya2.bbmp.gov.in/Grievance/ReviewReport.aspx
https://site.bbmp.gov.in/departmentwebsites/swm/</t>
        </is>
      </c>
    </row>
    <row r="26" ht="68" customHeight="1">
      <c r="A26" s="20" t="inlineStr">
        <is>
          <t>Bus obstructs road</t>
        </is>
      </c>
      <c r="B26" s="21" t="inlineStr">
        <is>
          <t>BTP</t>
        </is>
      </c>
      <c r="C26" s="21" t="inlineStr">
        <is>
          <t>BMTC</t>
        </is>
      </c>
      <c r="D26" s="21" t="inlineStr"/>
      <c r="E26" s="21" t="inlineStr">
        <is>
          <t>BTP handles violation/traffic; BMTC handles driver/service accountability.</t>
        </is>
      </c>
      <c r="F26" s="22" t="inlineStr">
        <is>
          <t>S17, S20</t>
        </is>
      </c>
      <c r="G26" s="22" t="inlineStr">
        <is>
          <t>https://btp.karnataka.gov.in/200/be-aware-be-smart/en
https://mybmtc.karnataka.gov.in/10/complaints/en</t>
        </is>
      </c>
    </row>
    <row r="27" ht="68" customHeight="1">
      <c r="A27" s="15" t="inlineStr">
        <is>
          <t>Asset is not municipally owned</t>
        </is>
      </c>
      <c r="B27" s="16" t="inlineStr">
        <is>
          <t>Verified asset owner (PWD/KRDCL/NHAI/BMRCL/BDA/private)</t>
        </is>
      </c>
      <c r="C27" s="16" t="inlineStr">
        <is>
          <t>BTP/112 when safety is affected</t>
        </is>
      </c>
      <c r="D27" s="16" t="inlineStr"/>
      <c r="E27" s="16" t="inlineStr">
        <is>
          <t>Never assign solely by category; ownership takes priority.</t>
        </is>
      </c>
      <c r="F27" s="19" t="inlineStr">
        <is>
          <t>S11, S19, S21, S22, S25</t>
        </is>
      </c>
      <c r="G27" s="19" t="inlineStr">
        <is>
          <t>https://site.bbmp.gov.in/departmentwebsites/Lakes/Abstract.html
https://english.bmrc.co.in/contact/
https://kpwd.karnataka.gov.in/feedback/en
https://www.krdcl.in/en/complaint
https://rajmargyatra.nhai.gov.in/</t>
        </is>
      </c>
    </row>
  </sheetData>
  <autoFilter ref="A2:G27"/>
  <mergeCells count="1">
    <mergeCell ref="A1:G1"/>
  </mergeCell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35" customWidth="1" min="4" max="4"/>
    <col width="62" customWidth="1" min="5" max="5"/>
  </cols>
  <sheetData>
    <row r="1" ht="28" customHeight="1">
      <c r="A1" s="1" t="inlineStr">
        <is>
          <t>Recommended AI Classification and Ticket Data Model</t>
        </is>
      </c>
    </row>
    <row r="2" ht="34" customHeight="1">
      <c r="A2" s="6" t="inlineStr">
        <is>
          <t>Field</t>
        </is>
      </c>
      <c r="B2" s="6" t="inlineStr">
        <is>
          <t>Required?</t>
        </is>
      </c>
      <c r="C2" s="6" t="inlineStr">
        <is>
          <t>Allowed / Suggested Values</t>
        </is>
      </c>
      <c r="D2" s="6" t="inlineStr">
        <is>
          <t>Purpose</t>
        </is>
      </c>
      <c r="E2" s="6" t="inlineStr">
        <is>
          <t>Validation / Routing Rule</t>
        </is>
      </c>
    </row>
    <row r="3" ht="56" customHeight="1">
      <c r="A3" s="16" t="inlineStr">
        <is>
          <t>complaint_text</t>
        </is>
      </c>
      <c r="B3" s="16" t="inlineStr">
        <is>
          <t>Yes</t>
        </is>
      </c>
      <c r="C3" s="16" t="inlineStr">
        <is>
          <t>Free text + detected language</t>
        </is>
      </c>
      <c r="D3" s="15" t="inlineStr">
        <is>
          <t>Original user report</t>
        </is>
      </c>
      <c r="E3" s="16" t="inlineStr">
        <is>
          <t>Preserve original; store translated/normalized text separately.</t>
        </is>
      </c>
    </row>
    <row r="4" ht="56" customHeight="1">
      <c r="A4" s="21" t="inlineStr">
        <is>
          <t>media</t>
        </is>
      </c>
      <c r="B4" s="21" t="inlineStr">
        <is>
          <t>Optional</t>
        </is>
      </c>
      <c r="C4" s="21" t="inlineStr">
        <is>
          <t>Images/video/audio</t>
        </is>
      </c>
      <c r="D4" s="20" t="inlineStr">
        <is>
          <t>Evidence and visual classification</t>
        </is>
      </c>
      <c r="E4" s="21" t="inlineStr">
        <is>
          <t>Do not infer ownership from image alone.</t>
        </is>
      </c>
    </row>
    <row r="5" ht="56" customHeight="1">
      <c r="A5" s="16" t="inlineStr">
        <is>
          <t>latitude / longitude</t>
        </is>
      </c>
      <c r="B5" s="16" t="inlineStr">
        <is>
          <t>Strongly recommended</t>
        </is>
      </c>
      <c r="C5" s="16" t="inlineStr">
        <is>
          <t>Decimal coordinates</t>
        </is>
      </c>
      <c r="D5" s="15" t="inlineStr">
        <is>
          <t>Jurisdiction and asset lookup</t>
        </is>
      </c>
      <c r="E5" s="16" t="inlineStr">
        <is>
          <t>Required before ward/corporation auto-assignment when location matters.</t>
        </is>
      </c>
    </row>
    <row r="6" ht="56" customHeight="1">
      <c r="A6" s="21" t="inlineStr">
        <is>
          <t>city_corporation</t>
        </is>
      </c>
      <c r="B6" s="21" t="inlineStr">
        <is>
          <t>Derived</t>
        </is>
      </c>
      <c r="C6" s="21" t="inlineStr">
        <is>
          <t>Central / North / East / South / West</t>
        </is>
      </c>
      <c r="D6" s="20" t="inlineStr">
        <is>
          <t>Municipal login visibility</t>
        </is>
      </c>
      <c r="E6" s="21" t="inlineStr">
        <is>
          <t>Derive from official boundary GIS; do not rely only on user-entered ward.</t>
        </is>
      </c>
    </row>
    <row r="7" ht="56" customHeight="1">
      <c r="A7" s="16" t="inlineStr">
        <is>
          <t>ward / division / zone</t>
        </is>
      </c>
      <c r="B7" s="16" t="inlineStr">
        <is>
          <t>Derived</t>
        </is>
      </c>
      <c r="C7" s="16" t="inlineStr">
        <is>
          <t>Official current identifiers</t>
        </is>
      </c>
      <c r="D7" s="15" t="inlineStr">
        <is>
          <t>Operational assignment</t>
        </is>
      </c>
      <c r="E7" s="16" t="inlineStr">
        <is>
          <t>Version boundaries and keep effective dates.</t>
        </is>
      </c>
    </row>
    <row r="8" ht="56" customHeight="1">
      <c r="A8" s="21" t="inlineStr">
        <is>
          <t>asset_type</t>
        </is>
      </c>
      <c r="B8" s="21" t="inlineStr">
        <is>
          <t>Derived</t>
        </is>
      </c>
      <c r="C8" s="21" t="inlineStr">
        <is>
          <t>Road, footpath, SWD, sewer, lake, pole, signal, park, building, etc.</t>
        </is>
      </c>
      <c r="D8" s="20" t="inlineStr">
        <is>
          <t>Ownership lookup</t>
        </is>
      </c>
      <c r="E8" s="21" t="inlineStr">
        <is>
          <t>If asset_type confidence is low, require human review.</t>
        </is>
      </c>
    </row>
    <row r="9" ht="56" customHeight="1">
      <c r="A9" s="16" t="inlineStr">
        <is>
          <t>asset_owner</t>
        </is>
      </c>
      <c r="B9" s="16" t="inlineStr">
        <is>
          <t>Required before final route</t>
        </is>
      </c>
      <c r="C9" s="16" t="inlineStr">
        <is>
          <t>GBA city corporation, BWSSB, BESCOM, BTP, BMRCL, BMTC, PWD, KRDCL, NHAI, BDA, private, unknown</t>
        </is>
      </c>
      <c r="D9" s="15" t="inlineStr">
        <is>
          <t>Prevents wrong-department routing</t>
        </is>
      </c>
      <c r="E9" s="16" t="inlineStr">
        <is>
          <t>Category must not override a verified owner.</t>
        </is>
      </c>
    </row>
    <row r="10" ht="56" customHeight="1">
      <c r="A10" s="21" t="inlineStr">
        <is>
          <t>issue_domain</t>
        </is>
      </c>
      <c r="B10" s="21" t="inlineStr">
        <is>
          <t>Derived</t>
        </is>
      </c>
      <c r="C10" s="21" t="inlineStr">
        <is>
          <t>Use domains in Routing Matrix</t>
        </is>
      </c>
      <c r="D10" s="20" t="inlineStr">
        <is>
          <t>Top-level AI label</t>
        </is>
      </c>
      <c r="E10" s="21" t="inlineStr">
        <is>
          <t>Return confidence and top alternatives.</t>
        </is>
      </c>
    </row>
    <row r="11" ht="56" customHeight="1">
      <c r="A11" s="16" t="inlineStr">
        <is>
          <t>issue_type</t>
        </is>
      </c>
      <c r="B11" s="16" t="inlineStr">
        <is>
          <t>Derived</t>
        </is>
      </c>
      <c r="C11" s="16" t="inlineStr">
        <is>
          <t>Use exact Issue Type taxonomy</t>
        </is>
      </c>
      <c r="D11" s="15" t="inlineStr">
        <is>
          <t>Detailed AI label</t>
        </is>
      </c>
      <c r="E11" s="16" t="inlineStr">
        <is>
          <t>Map to stable internal code, not only display name.</t>
        </is>
      </c>
    </row>
    <row r="12" ht="56" customHeight="1">
      <c r="A12" s="21" t="inlineStr">
        <is>
          <t>primary_department</t>
        </is>
      </c>
      <c r="B12" s="21" t="inlineStr">
        <is>
          <t>Derived/validated</t>
        </is>
      </c>
      <c r="C12" s="21" t="inlineStr">
        <is>
          <t>Normalized agency/department role</t>
        </is>
      </c>
      <c r="D12" s="20" t="inlineStr">
        <is>
          <t>Root-cause owner</t>
        </is>
      </c>
      <c r="E12" s="21" t="inlineStr">
        <is>
          <t>Exactly one primary owner after asset resolution, except emergency dispatch.</t>
        </is>
      </c>
    </row>
    <row r="13" ht="56" customHeight="1">
      <c r="A13" s="16" t="inlineStr">
        <is>
          <t>secondary_departments</t>
        </is>
      </c>
      <c r="B13" s="16" t="inlineStr">
        <is>
          <t>Conditional</t>
        </is>
      </c>
      <c r="C13" s="16" t="inlineStr">
        <is>
          <t>Zero or more linked owners</t>
        </is>
      </c>
      <c r="D13" s="15" t="inlineStr">
        <is>
          <t>Cross-agency work</t>
        </is>
      </c>
      <c r="E13" s="16" t="inlineStr">
        <is>
          <t>Create only when Secondary Trigger is satisfied.</t>
        </is>
      </c>
    </row>
    <row r="14" ht="56" customHeight="1">
      <c r="A14" s="21" t="inlineStr">
        <is>
          <t>emergency_flag</t>
        </is>
      </c>
      <c r="B14" s="21" t="inlineStr">
        <is>
          <t>Derived/confirmed</t>
        </is>
      </c>
      <c r="C14" s="21" t="inlineStr">
        <is>
          <t>Yes / No / Uncertain</t>
        </is>
      </c>
      <c r="D14" s="20" t="inlineStr">
        <is>
          <t>Safety triage</t>
        </is>
      </c>
      <c r="E14" s="21" t="inlineStr">
        <is>
          <t>Emergency dispatch precedes normal complaint workflow.</t>
        </is>
      </c>
    </row>
    <row r="15" ht="56" customHeight="1">
      <c r="A15" s="16" t="inlineStr">
        <is>
          <t>master_ticket_id</t>
        </is>
      </c>
      <c r="B15" s="16" t="inlineStr">
        <is>
          <t>System</t>
        </is>
      </c>
      <c r="C15" s="16" t="inlineStr">
        <is>
          <t>Unique ID</t>
        </is>
      </c>
      <c r="D15" s="15" t="inlineStr">
        <is>
          <t>Shared citizen-facing complaint</t>
        </is>
      </c>
      <c r="E15" s="16" t="inlineStr">
        <is>
          <t>One complaint, not duplicate isolated tickets.</t>
        </is>
      </c>
    </row>
    <row r="16" ht="56" customHeight="1">
      <c r="A16" s="21" t="inlineStr">
        <is>
          <t>child_task_id</t>
        </is>
      </c>
      <c r="B16" s="21" t="inlineStr">
        <is>
          <t>System</t>
        </is>
      </c>
      <c r="C16" s="21" t="inlineStr">
        <is>
          <t>One per department</t>
        </is>
      </c>
      <c r="D16" s="20" t="inlineStr">
        <is>
          <t>Department-specific work item</t>
        </is>
      </c>
      <c r="E16" s="21" t="inlineStr">
        <is>
          <t>Each login sees only assigned child tasks.</t>
        </is>
      </c>
    </row>
    <row r="17" ht="56" customHeight="1">
      <c r="A17" s="16" t="inlineStr">
        <is>
          <t>dependency_order</t>
        </is>
      </c>
      <c r="B17" s="16" t="inlineStr">
        <is>
          <t>System</t>
        </is>
      </c>
      <c r="C17" s="16" t="inlineStr">
        <is>
          <t>Parallel / sequential / blocked-by</t>
        </is>
      </c>
      <c r="D17" s="15" t="inlineStr">
        <is>
          <t>Coordinated repair order</t>
        </is>
      </c>
      <c r="E17" s="16" t="inlineStr">
        <is>
          <t>Example: utility repair must finish before road restoration.</t>
        </is>
      </c>
    </row>
    <row r="18" ht="56" customHeight="1">
      <c r="A18" s="21" t="inlineStr">
        <is>
          <t>classification_confidence</t>
        </is>
      </c>
      <c r="B18" s="21" t="inlineStr">
        <is>
          <t>System</t>
        </is>
      </c>
      <c r="C18" s="21" t="inlineStr">
        <is>
          <t>0.00–1.00</t>
        </is>
      </c>
      <c r="D18" s="20" t="inlineStr">
        <is>
          <t>Automation threshold</t>
        </is>
      </c>
      <c r="E18" s="21" t="inlineStr">
        <is>
          <t>Low confidence or conflicting evidence goes to admin review.</t>
        </is>
      </c>
    </row>
    <row r="19" ht="56" customHeight="1">
      <c r="A19" s="16" t="inlineStr">
        <is>
          <t>human_review_reason</t>
        </is>
      </c>
      <c r="B19" s="16" t="inlineStr">
        <is>
          <t>Conditional</t>
        </is>
      </c>
      <c r="C19" s="16" t="inlineStr">
        <is>
          <t>Unknown owner, boundary conflict, multiple causes, emergency uncertainty, legal/title issue</t>
        </is>
      </c>
      <c r="D19" s="15" t="inlineStr">
        <is>
          <t>Audit and triage</t>
        </is>
      </c>
      <c r="E19" s="16" t="inlineStr">
        <is>
          <t>Mandatory when confidence or ownership thresholds fail.</t>
        </is>
      </c>
    </row>
    <row r="20" ht="56" customHeight="1">
      <c r="A20" s="21" t="inlineStr">
        <is>
          <t>source_rule_version</t>
        </is>
      </c>
      <c r="B20" s="21" t="inlineStr">
        <is>
          <t>System</t>
        </is>
      </c>
      <c r="C20" s="21" t="inlineStr">
        <is>
          <t>Version/date</t>
        </is>
      </c>
      <c r="D20" s="20" t="inlineStr">
        <is>
          <t>Auditability</t>
        </is>
      </c>
      <c r="E20" s="21" t="inlineStr">
        <is>
          <t>Store routing taxonomy version used for each decision.</t>
        </is>
      </c>
    </row>
    <row r="21" ht="56" customHeight="1">
      <c r="A21" s="16" t="inlineStr">
        <is>
          <t>status</t>
        </is>
      </c>
      <c r="B21" s="16" t="inlineStr">
        <is>
          <t>System</t>
        </is>
      </c>
      <c r="C21" s="16" t="inlineStr">
        <is>
          <t>New, Triage, Assigned, In Progress, Blocked, Resolved, Reopened, Closed</t>
        </is>
      </c>
      <c r="D21" s="15" t="inlineStr">
        <is>
          <t>Workflow</t>
        </is>
      </c>
      <c r="E21" s="16" t="inlineStr">
        <is>
          <t>Master closes only after mandatory child tasks resolve.</t>
        </is>
      </c>
    </row>
    <row r="22" ht="56" customHeight="1">
      <c r="A22" s="21" t="inlineStr">
        <is>
          <t>citizen_visibility</t>
        </is>
      </c>
      <c r="B22" s="21" t="inlineStr">
        <is>
          <t>System</t>
        </is>
      </c>
      <c r="C22" s="21" t="inlineStr">
        <is>
          <t>Public summary / internal details</t>
        </is>
      </c>
      <c r="D22" s="20" t="inlineStr">
        <is>
          <t>Privacy and transparency</t>
        </is>
      </c>
      <c r="E22" s="21" t="inlineStr">
        <is>
          <t>Do not expose internal notes, personal data or security-sensitive details.</t>
        </is>
      </c>
    </row>
  </sheetData>
  <autoFilter ref="A2:E22"/>
  <mergeCells count="1">
    <mergeCell ref="A1:E1"/>
  </mergeCell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42" customWidth="1" min="3" max="3"/>
    <col width="42" customWidth="1" min="4" max="4"/>
    <col width="42" customWidth="1" min="5" max="5"/>
    <col width="20" customWidth="1" min="6" max="6"/>
    <col width="44" customWidth="1" min="7" max="7"/>
  </cols>
  <sheetData>
    <row r="1" ht="28" customHeight="1">
      <c r="A1" s="1" t="inlineStr">
        <is>
          <t>Sample AI Routing Test Cases</t>
        </is>
      </c>
    </row>
    <row r="2" ht="34" customHeight="1">
      <c r="A2" s="6" t="inlineStr">
        <is>
          <t>Test ID</t>
        </is>
      </c>
      <c r="B2" s="6" t="inlineStr">
        <is>
          <t>Citizen Complaint</t>
        </is>
      </c>
      <c r="C2" s="6" t="inlineStr">
        <is>
          <t>Expected Primary Route</t>
        </is>
      </c>
      <c r="D2" s="6" t="inlineStr">
        <is>
          <t>Expected Secondary Route</t>
        </is>
      </c>
      <c r="E2" s="6" t="inlineStr">
        <is>
          <t>Reason / Trigger</t>
        </is>
      </c>
      <c r="F2" s="6" t="inlineStr">
        <is>
          <t>Review Result</t>
        </is>
      </c>
      <c r="G2" s="6" t="inlineStr">
        <is>
          <t>Reviewer Notes</t>
        </is>
      </c>
    </row>
    <row r="3" ht="64" customHeight="1">
      <c r="A3" s="15" t="inlineStr">
        <is>
          <t>T001</t>
        </is>
      </c>
      <c r="B3" s="15" t="inlineStr">
        <is>
          <t>There is a huge pothole near the bus stop and traffic is getting blocked.</t>
        </is>
      </c>
      <c r="C3" s="16" t="inlineStr">
        <is>
          <t>Relevant GBA City Corporation – Engineering / Road Infrastructure</t>
        </is>
      </c>
      <c r="D3" s="16" t="inlineStr">
        <is>
          <t>Bengaluru Traffic Police (BTP)</t>
        </is>
      </c>
      <c r="E3" s="16" t="inlineStr">
        <is>
          <t>Pothole + traffic obstruction</t>
        </is>
      </c>
      <c r="F3" s="15" t="inlineStr">
        <is>
          <t>Pending</t>
        </is>
      </c>
      <c r="G3" s="15" t="inlineStr"/>
    </row>
    <row r="4" ht="64" customHeight="1">
      <c r="A4" s="20" t="inlineStr">
        <is>
          <t>T002</t>
        </is>
      </c>
      <c r="B4" s="20" t="inlineStr">
        <is>
          <t>BWSSB repaired a pipe last week but the road is still open.</t>
        </is>
      </c>
      <c r="C4" s="21" t="inlineStr">
        <is>
          <t>Bangalore Water Supply and Sewerage Board (BWSSB)</t>
        </is>
      </c>
      <c r="D4" s="21" t="inlineStr">
        <is>
          <t>Relevant GBA City Corporation – Engineering / Road Infrastructure</t>
        </is>
      </c>
      <c r="E4" s="21" t="inlineStr">
        <is>
          <t>Utility work dependency and restoration</t>
        </is>
      </c>
      <c r="F4" s="20" t="inlineStr">
        <is>
          <t>Pending</t>
        </is>
      </c>
      <c r="G4" s="20" t="inlineStr"/>
    </row>
    <row r="5" ht="64" customHeight="1">
      <c r="A5" s="15" t="inlineStr">
        <is>
          <t>T003</t>
        </is>
      </c>
      <c r="B5" s="15" t="inlineStr">
        <is>
          <t>Sewage is overflowing from a manhole into the road.</t>
        </is>
      </c>
      <c r="C5" s="16" t="inlineStr">
        <is>
          <t>Bangalore Water Supply and Sewerage Board (BWSSB)</t>
        </is>
      </c>
      <c r="D5" s="16" t="inlineStr">
        <is>
          <t>Relevant GBA City Corporation – Health; BTP</t>
        </is>
      </c>
      <c r="E5" s="16" t="inlineStr">
        <is>
          <t>Sewer + sanitation + traffic hazard</t>
        </is>
      </c>
      <c r="F5" s="15" t="inlineStr">
        <is>
          <t>Pending</t>
        </is>
      </c>
      <c r="G5" s="15" t="inlineStr"/>
    </row>
    <row r="6" ht="64" customHeight="1">
      <c r="A6" s="20" t="inlineStr">
        <is>
          <t>T004</t>
        </is>
      </c>
      <c r="B6" s="20" t="inlineStr">
        <is>
          <t>The storm drain is full of plastic and rainwater is flooding the street.</t>
        </is>
      </c>
      <c r="C6" s="21" t="inlineStr">
        <is>
          <t>BSWML / Relevant GBA City Corporation – Solid Waste Management</t>
        </is>
      </c>
      <c r="D6" s="21" t="inlineStr">
        <is>
          <t>Relevant GBA City Corporation – Storm Water Drain (SWD)</t>
        </is>
      </c>
      <c r="E6" s="21" t="inlineStr">
        <is>
          <t>Garbage is root cause; SWD restores flow</t>
        </is>
      </c>
      <c r="F6" s="20" t="inlineStr">
        <is>
          <t>Pending</t>
        </is>
      </c>
      <c r="G6" s="20" t="inlineStr"/>
    </row>
    <row r="7" ht="64" customHeight="1">
      <c r="A7" s="15" t="inlineStr">
        <is>
          <t>T005</t>
        </is>
      </c>
      <c r="B7" s="15" t="inlineStr">
        <is>
          <t>A tree has fallen onto electrical wires and blocked the road.</t>
        </is>
      </c>
      <c r="C7" s="16" t="inlineStr">
        <is>
          <t>Bangalore Electricity Supply Company (BESCOM)</t>
        </is>
      </c>
      <c r="D7" s="16" t="inlineStr">
        <is>
          <t>Relevant GBA City Corporation – Forest / Horticulture; BTP; 112</t>
        </is>
      </c>
      <c r="E7" s="16" t="inlineStr">
        <is>
          <t>Electrical isolation first</t>
        </is>
      </c>
      <c r="F7" s="15" t="inlineStr">
        <is>
          <t>Pending</t>
        </is>
      </c>
      <c r="G7" s="15" t="inlineStr"/>
    </row>
    <row r="8" ht="64" customHeight="1">
      <c r="A8" s="20" t="inlineStr">
        <is>
          <t>T006</t>
        </is>
      </c>
      <c r="B8" s="20" t="inlineStr">
        <is>
          <t>The streetlight is off but nearby houses have electricity.</t>
        </is>
      </c>
      <c r="C8" s="21" t="inlineStr">
        <is>
          <t>Relevant GBA City Corporation – Electrical</t>
        </is>
      </c>
      <c r="D8" s="21" t="inlineStr"/>
      <c r="E8" s="21" t="inlineStr">
        <is>
          <t>Likely municipal fixture, not feeder outage</t>
        </is>
      </c>
      <c r="F8" s="20" t="inlineStr">
        <is>
          <t>Pending</t>
        </is>
      </c>
      <c r="G8" s="20" t="inlineStr"/>
    </row>
    <row r="9" ht="64" customHeight="1">
      <c r="A9" s="15" t="inlineStr">
        <is>
          <t>T007</t>
        </is>
      </c>
      <c r="B9" s="15" t="inlineStr">
        <is>
          <t>All streetlights and houses in the area have no power.</t>
        </is>
      </c>
      <c r="C9" s="16" t="inlineStr">
        <is>
          <t>Bangalore Electricity Supply Company (BESCOM)</t>
        </is>
      </c>
      <c r="D9" s="16" t="inlineStr">
        <is>
          <t>Relevant GBA City Corporation – Electrical</t>
        </is>
      </c>
      <c r="E9" s="16" t="inlineStr">
        <is>
          <t>Area supply failure; municipal fixture ticket only if lights remain out after power returns</t>
        </is>
      </c>
      <c r="F9" s="15" t="inlineStr">
        <is>
          <t>Pending</t>
        </is>
      </c>
      <c r="G9" s="15" t="inlineStr"/>
    </row>
    <row r="10" ht="64" customHeight="1">
      <c r="A10" s="20" t="inlineStr">
        <is>
          <t>T008</t>
        </is>
      </c>
      <c r="B10" s="20" t="inlineStr">
        <is>
          <t>The traffic signal is completely dark at a busy junction.</t>
        </is>
      </c>
      <c r="C10" s="21" t="inlineStr">
        <is>
          <t>Bengaluru Traffic Police (BTP)</t>
        </is>
      </c>
      <c r="D10" s="21" t="inlineStr">
        <is>
          <t>Bangalore Electricity Supply Company (BESCOM)</t>
        </is>
      </c>
      <c r="E10" s="21" t="inlineStr">
        <is>
          <t>Signal owner first, supply check second</t>
        </is>
      </c>
      <c r="F10" s="20" t="inlineStr">
        <is>
          <t>Pending</t>
        </is>
      </c>
      <c r="G10" s="20" t="inlineStr"/>
    </row>
    <row r="11" ht="64" customHeight="1">
      <c r="A11" s="15" t="inlineStr">
        <is>
          <t>T009</t>
        </is>
      </c>
      <c r="B11" s="15" t="inlineStr">
        <is>
          <t>An auto driver refused the ride and demanded extra fare.</t>
        </is>
      </c>
      <c r="C11" s="16" t="inlineStr">
        <is>
          <t>Bengaluru Traffic Police (BTP)</t>
        </is>
      </c>
      <c r="D11" s="16" t="inlineStr"/>
      <c r="E11" s="16" t="inlineStr">
        <is>
          <t>Direct BTP auto/cab complaint</t>
        </is>
      </c>
      <c r="F11" s="15" t="inlineStr">
        <is>
          <t>Pending</t>
        </is>
      </c>
      <c r="G11" s="15" t="inlineStr"/>
    </row>
    <row r="12" ht="64" customHeight="1">
      <c r="A12" s="20" t="inlineStr">
        <is>
          <t>T010</t>
        </is>
      </c>
      <c r="B12" s="20" t="inlineStr">
        <is>
          <t>A metro construction barricade is blocking half the road without a diversion.</t>
        </is>
      </c>
      <c r="C12" s="21" t="inlineStr">
        <is>
          <t>BMRCL – Projects</t>
        </is>
      </c>
      <c r="D12" s="21" t="inlineStr">
        <is>
          <t>Bengaluru Traffic Police (BTP)</t>
        </is>
      </c>
      <c r="E12" s="21" t="inlineStr">
        <is>
          <t>Project owner + traffic control</t>
        </is>
      </c>
      <c r="F12" s="20" t="inlineStr">
        <is>
          <t>Pending</t>
        </is>
      </c>
      <c r="G12" s="20" t="inlineStr"/>
    </row>
    <row r="13" ht="64" customHeight="1">
      <c r="A13" s="15" t="inlineStr">
        <is>
          <t>T011</t>
        </is>
      </c>
      <c r="B13" s="15" t="inlineStr">
        <is>
          <t>There is foam and dead fish in the lake.</t>
        </is>
      </c>
      <c r="C13" s="16" t="inlineStr">
        <is>
          <t>Karnataka State Pollution Control Board (KSPCB)</t>
        </is>
      </c>
      <c r="D13" s="16" t="inlineStr">
        <is>
          <t>Relevant lake custodian – municipal Lakes unit when in municipal custody; BWSSB</t>
        </is>
      </c>
      <c r="E13" s="16" t="inlineStr">
        <is>
          <t>Pollution investigation + custodian + sewage-source check</t>
        </is>
      </c>
      <c r="F13" s="15" t="inlineStr">
        <is>
          <t>Pending</t>
        </is>
      </c>
      <c r="G13" s="15" t="inlineStr"/>
    </row>
    <row r="14" ht="64" customHeight="1">
      <c r="A14" s="20" t="inlineStr">
        <is>
          <t>T012</t>
        </is>
      </c>
      <c r="B14" s="20" t="inlineStr">
        <is>
          <t>A national highway pothole damaged my vehicle.</t>
        </is>
      </c>
      <c r="C14" s="21" t="inlineStr">
        <is>
          <t>NHAI / highway concessionaire</t>
        </is>
      </c>
      <c r="D14" s="21" t="inlineStr">
        <is>
          <t>Bengaluru Traffic Police (BTP)</t>
        </is>
      </c>
      <c r="E14" s="21" t="inlineStr">
        <is>
          <t>Asset owner gate overrides municipal category</t>
        </is>
      </c>
      <c r="F14" s="20" t="inlineStr">
        <is>
          <t>Pending</t>
        </is>
      </c>
      <c r="G14" s="20" t="inlineStr"/>
    </row>
    <row r="15" ht="64" customHeight="1">
      <c r="A15" s="15" t="inlineStr">
        <is>
          <t>T013</t>
        </is>
      </c>
      <c r="B15" s="15" t="inlineStr">
        <is>
          <t>A live wire is lying on the footpath.</t>
        </is>
      </c>
      <c r="C15" s="16" t="inlineStr">
        <is>
          <t>Bangalore Electricity Supply Company (BESCOM)</t>
        </is>
      </c>
      <c r="D15" s="16" t="inlineStr">
        <is>
          <t>112; BTP</t>
        </is>
      </c>
      <c r="E15" s="16" t="inlineStr">
        <is>
          <t>Immediate electrical emergency</t>
        </is>
      </c>
      <c r="F15" s="15" t="inlineStr">
        <is>
          <t>Pending</t>
        </is>
      </c>
      <c r="G15" s="15" t="inlineStr"/>
    </row>
    <row r="16" ht="64" customHeight="1">
      <c r="A16" s="20" t="inlineStr">
        <is>
          <t>T014</t>
        </is>
      </c>
      <c r="B16" s="20" t="inlineStr">
        <is>
          <t>A broken footpath forces pedestrians into traffic.</t>
        </is>
      </c>
      <c r="C16" s="21" t="inlineStr">
        <is>
          <t>Relevant GBA City Corporation – Engineering / Road Infrastructure</t>
        </is>
      </c>
      <c r="D16" s="21" t="inlineStr">
        <is>
          <t>Bengaluru Traffic Police (BTP)</t>
        </is>
      </c>
      <c r="E16" s="21" t="inlineStr">
        <is>
          <t>Civil repair + traffic safety</t>
        </is>
      </c>
      <c r="F16" s="20" t="inlineStr">
        <is>
          <t>Pending</t>
        </is>
      </c>
      <c r="G16" s="20" t="inlineStr"/>
    </row>
    <row r="17" ht="64" customHeight="1">
      <c r="A17" s="15" t="inlineStr">
        <is>
          <t>T015</t>
        </is>
      </c>
      <c r="B17" s="15" t="inlineStr">
        <is>
          <t>Garbage is being burned next to houses.</t>
        </is>
      </c>
      <c r="C17" s="16" t="inlineStr">
        <is>
          <t>BSWML / Relevant GBA City Corporation – Solid Waste Management</t>
        </is>
      </c>
      <c r="D17" s="16" t="inlineStr">
        <is>
          <t>KSPCB; Fire/112 if active danger</t>
        </is>
      </c>
      <c r="E17" s="16" t="inlineStr">
        <is>
          <t>Waste + pollution + emergency</t>
        </is>
      </c>
      <c r="F17" s="15" t="inlineStr">
        <is>
          <t>Pending</t>
        </is>
      </c>
      <c r="G17" s="15" t="inlineStr"/>
    </row>
    <row r="18" ht="64" customHeight="1">
      <c r="A18" s="20" t="inlineStr">
        <is>
          <t>T016</t>
        </is>
      </c>
      <c r="B18" s="20" t="inlineStr">
        <is>
          <t>The road is flooded and the water smells like sewage.</t>
        </is>
      </c>
      <c r="C18" s="21" t="inlineStr">
        <is>
          <t>Bangalore Water Supply and Sewerage Board (BWSSB)</t>
        </is>
      </c>
      <c r="D18" s="21" t="inlineStr">
        <is>
          <t>Relevant GBA City Corporation – Storm Water Drain (SWD); BTP</t>
        </is>
      </c>
      <c r="E18" s="21" t="inlineStr">
        <is>
          <t>Sewage indicator changes primary owner</t>
        </is>
      </c>
      <c r="F18" s="20" t="inlineStr">
        <is>
          <t>Pending</t>
        </is>
      </c>
      <c r="G18" s="20" t="inlineStr"/>
    </row>
    <row r="19" ht="64" customHeight="1">
      <c r="A19" s="15" t="inlineStr">
        <is>
          <t>T017</t>
        </is>
      </c>
      <c r="B19" s="15" t="inlineStr">
        <is>
          <t>A cow is standing in the middle of a busy road.</t>
        </is>
      </c>
      <c r="C19" s="16" t="inlineStr">
        <is>
          <t>Bengaluru Traffic Police (BTP)</t>
        </is>
      </c>
      <c r="D19" s="16" t="inlineStr">
        <is>
          <t>GBA Animal Husbandry</t>
        </is>
      </c>
      <c r="E19" s="16" t="inlineStr">
        <is>
          <t>Traffic safety first</t>
        </is>
      </c>
      <c r="F19" s="15" t="inlineStr">
        <is>
          <t>Pending</t>
        </is>
      </c>
      <c r="G19" s="15" t="inlineStr"/>
    </row>
    <row r="20" ht="64" customHeight="1">
      <c r="A20" s="20" t="inlineStr">
        <is>
          <t>T018</t>
        </is>
      </c>
      <c r="B20" s="20" t="inlineStr">
        <is>
          <t>A billboard is leaning over the road.</t>
        </is>
      </c>
      <c r="C20" s="21" t="inlineStr">
        <is>
          <t>Municipal Advertisement / Engineering</t>
        </is>
      </c>
      <c r="D20" s="21" t="inlineStr">
        <is>
          <t>BTP; 112</t>
        </is>
      </c>
      <c r="E20" s="21" t="inlineStr">
        <is>
          <t>Collapse and traffic risk</t>
        </is>
      </c>
      <c r="F20" s="20" t="inlineStr">
        <is>
          <t>Pending</t>
        </is>
      </c>
      <c r="G20" s="20" t="inlineStr"/>
    </row>
    <row r="21" ht="64" customHeight="1">
      <c r="A21" s="15" t="inlineStr">
        <is>
          <t>T019</t>
        </is>
      </c>
      <c r="B21" s="15" t="inlineStr">
        <is>
          <t>The BMTC bus driver skipped the stop and drove dangerously.</t>
        </is>
      </c>
      <c r="C21" s="16" t="inlineStr">
        <is>
          <t>Bengaluru Metropolitan Transport Corporation (BMTC)</t>
        </is>
      </c>
      <c r="D21" s="16" t="inlineStr">
        <is>
          <t>Bengaluru Traffic Police (BTP)</t>
        </is>
      </c>
      <c r="E21" s="16" t="inlineStr">
        <is>
          <t>Service complaint + traffic violation</t>
        </is>
      </c>
      <c r="F21" s="15" t="inlineStr">
        <is>
          <t>Pending</t>
        </is>
      </c>
      <c r="G21" s="15" t="inlineStr"/>
    </row>
    <row r="22" ht="64" customHeight="1">
      <c r="A22" s="20" t="inlineStr">
        <is>
          <t>T020</t>
        </is>
      </c>
      <c r="B22" s="20" t="inlineStr">
        <is>
          <t>A building wall is cracking and may fall onto the road.</t>
        </is>
      </c>
      <c r="C22" s="21" t="inlineStr">
        <is>
          <t>Relevant GBA City Corporation – Town Planning</t>
        </is>
      </c>
      <c r="D22" s="21" t="inlineStr">
        <is>
          <t>112; BTP; Engineering</t>
        </is>
      </c>
      <c r="E22" s="21" t="inlineStr">
        <is>
          <t>Emergency + regulatory + road protection</t>
        </is>
      </c>
      <c r="F22" s="20" t="inlineStr">
        <is>
          <t>Pending</t>
        </is>
      </c>
      <c r="G22" s="20" t="inlineStr"/>
    </row>
  </sheetData>
  <autoFilter ref="A2:G22"/>
  <mergeCells count="1">
    <mergeCell ref="A1:G1"/>
  </mergeCells>
  <dataValidations count="1">
    <dataValidation sqref="F3:F22" showDropDown="0" showInputMessage="0" showErrorMessage="0" allowBlank="0" type="list">
      <formula1>"Pending,Pass,Fail,Needs Discussion"</formula1>
    </dataValidation>
  </dataValidation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68" customWidth="1" min="3" max="3"/>
    <col width="28" customWidth="1" min="4" max="4"/>
    <col width="16" customWidth="1" min="5" max="5"/>
  </cols>
  <sheetData>
    <row r="1" ht="28" customHeight="1">
      <c r="A1" s="1" t="inlineStr">
        <is>
          <t>Government Validation and Data Gaps</t>
        </is>
      </c>
    </row>
    <row r="2" ht="34" customHeight="1">
      <c r="A2" s="6" t="inlineStr">
        <is>
          <t>Gap / Decision Needed</t>
        </is>
      </c>
      <c r="B2" s="6" t="inlineStr">
        <is>
          <t>Why It Matters</t>
        </is>
      </c>
      <c r="C2" s="6" t="inlineStr">
        <is>
          <t>Recommended Action Before Production</t>
        </is>
      </c>
      <c r="D2" s="6" t="inlineStr">
        <is>
          <t>Owner</t>
        </is>
      </c>
      <c r="E2" s="6" t="inlineStr">
        <is>
          <t>Status</t>
        </is>
      </c>
    </row>
    <row r="3" ht="70" customHeight="1">
      <c r="A3" s="15" t="inlineStr">
        <is>
          <t>Current official ward/corporation GIS boundaries</t>
        </is>
      </c>
      <c r="B3" s="15" t="inlineStr">
        <is>
          <t>Required to derive corporation/ward from coordinates</t>
        </is>
      </c>
      <c r="C3" s="16" t="inlineStr">
        <is>
          <t>Obtain authoritative GIS polygons with effective dates from GBA and build a versioned geospatial lookup.</t>
        </is>
      </c>
      <c r="D3" s="16" t="inlineStr">
        <is>
          <t>GBA / Product</t>
        </is>
      </c>
      <c r="E3" s="18" t="inlineStr">
        <is>
          <t>Open</t>
        </is>
      </c>
    </row>
    <row r="4" ht="70" customHeight="1">
      <c r="A4" s="20" t="inlineStr">
        <is>
          <t>Asset-level road ownership dataset</t>
        </is>
      </c>
      <c r="B4" s="20" t="inlineStr">
        <is>
          <t>A road complaint cannot be routed reliably by category alone</t>
        </is>
      </c>
      <c r="C4" s="21" t="inlineStr">
        <is>
          <t>Compile road-segment ownership for city corporations, BDA, PWD, KRDCL, NHAI, BMRCL and private layouts.</t>
        </is>
      </c>
      <c r="D4" s="21" t="inlineStr">
        <is>
          <t>GBA + road agencies</t>
        </is>
      </c>
      <c r="E4" s="18" t="inlineStr">
        <is>
          <t>Open</t>
        </is>
      </c>
    </row>
    <row r="5" ht="70" customHeight="1">
      <c r="A5" s="15" t="inlineStr">
        <is>
          <t>Current lake custodian registry</t>
        </is>
      </c>
      <c r="B5" s="15" t="inlineStr">
        <is>
          <t>Official municipal material shows lakes under multiple custodians</t>
        </is>
      </c>
      <c r="C5" s="16" t="inlineStr">
        <is>
          <t>Create lake polygon → custodian mapping and validate transfer status.</t>
        </is>
      </c>
      <c r="D5" s="16" t="inlineStr">
        <is>
          <t>GBA/BDA/Forest/BMRCL</t>
        </is>
      </c>
      <c r="E5" s="18" t="inlineStr">
        <is>
          <t>Open</t>
        </is>
      </c>
    </row>
    <row r="6" ht="70" customHeight="1">
      <c r="A6" s="20" t="inlineStr">
        <is>
          <t>Streetlight, signal, pole and chamber asset IDs</t>
        </is>
      </c>
      <c r="B6" s="20" t="inlineStr">
        <is>
          <t>Similar-looking assets belong to different agencies</t>
        </is>
      </c>
      <c r="C6" s="21" t="inlineStr">
        <is>
          <t>Integrate GIS/asset registers or require photo + location + human verification.</t>
        </is>
      </c>
      <c r="D6" s="21" t="inlineStr">
        <is>
          <t>GBA/BTP/BESCOM/BWSSB</t>
        </is>
      </c>
      <c r="E6" s="18" t="inlineStr">
        <is>
          <t>Open</t>
        </is>
      </c>
    </row>
    <row r="7" ht="70" customHeight="1">
      <c r="A7" s="15" t="inlineStr">
        <is>
          <t>Full current Sahaaya subcategory list</t>
        </is>
      </c>
      <c r="B7" s="15" t="inlineStr">
        <is>
          <t>Public report exposes fields but dynamic subcategories may not be fully indexable</t>
        </is>
      </c>
      <c r="C7" s="16" t="inlineStr">
        <is>
          <t>Request an export/API or validated taxonomy from the grievance team.</t>
        </is>
      </c>
      <c r="D7" s="16" t="inlineStr">
        <is>
          <t>GBA/Sahaaya</t>
        </is>
      </c>
      <c r="E7" s="18" t="inlineStr">
        <is>
          <t>Open</t>
        </is>
      </c>
    </row>
    <row r="8" ht="70" customHeight="1">
      <c r="A8" s="20" t="inlineStr">
        <is>
          <t>Department SLAs and escalation matrix</t>
        </is>
      </c>
      <c r="B8" s="20" t="inlineStr">
        <is>
          <t>Needed for alerts and overdue escalation</t>
        </is>
      </c>
      <c r="C8" s="21" t="inlineStr">
        <is>
          <t>Obtain official SLA, escalation levels and working-hour rules for each complaint type.</t>
        </is>
      </c>
      <c r="D8" s="21" t="inlineStr">
        <is>
          <t>Each agency</t>
        </is>
      </c>
      <c r="E8" s="18" t="inlineStr">
        <is>
          <t>Open</t>
        </is>
      </c>
    </row>
    <row r="9" ht="70" customHeight="1">
      <c r="A9" s="15" t="inlineStr">
        <is>
          <t>Multi-agency closure authority</t>
        </is>
      </c>
      <c r="B9" s="15" t="inlineStr">
        <is>
          <t>Linked tasks need a clear final-closure rule</t>
        </is>
      </c>
      <c r="C9" s="16" t="inlineStr">
        <is>
          <t>Approve whether primary owner, super admin or all mandatory owners can close the master ticket.</t>
        </is>
      </c>
      <c r="D9" s="16" t="inlineStr">
        <is>
          <t>Governance/Product</t>
        </is>
      </c>
      <c r="E9" s="18" t="inlineStr">
        <is>
          <t>Open</t>
        </is>
      </c>
    </row>
    <row r="10" ht="70" customHeight="1">
      <c r="A10" s="20" t="inlineStr">
        <is>
          <t>Department user hierarchy</t>
        </is>
      </c>
      <c r="B10" s="20" t="inlineStr">
        <is>
          <t>Needed for separate logins and data visibility</t>
        </is>
      </c>
      <c r="C10" s="21" t="inlineStr">
        <is>
          <t>Define agency → zone/division/ward → officer roles and substitute/escalation paths.</t>
        </is>
      </c>
      <c r="D10" s="21" t="inlineStr">
        <is>
          <t>Each agency</t>
        </is>
      </c>
      <c r="E10" s="18" t="inlineStr">
        <is>
          <t>Open</t>
        </is>
      </c>
    </row>
    <row r="11" ht="70" customHeight="1">
      <c r="A11" s="15" t="inlineStr">
        <is>
          <t>Emergency dispatch policy</t>
        </is>
      </c>
      <c r="B11" s="15" t="inlineStr">
        <is>
          <t>AI must not delay life-safety response</t>
        </is>
      </c>
      <c r="C11" s="16" t="inlineStr">
        <is>
          <t>Agree on explicit emergency phrases and when the app displays/calls 101, 112, 1912 or 1033.</t>
        </is>
      </c>
      <c r="D11" s="16" t="inlineStr">
        <is>
          <t>Emergency agencies/Product</t>
        </is>
      </c>
      <c r="E11" s="18" t="inlineStr">
        <is>
          <t>Open</t>
        </is>
      </c>
    </row>
    <row r="12" ht="70" customHeight="1">
      <c r="A12" s="20" t="inlineStr">
        <is>
          <t>Legal/privacy rules for photos and personal data</t>
        </is>
      </c>
      <c r="B12" s="20" t="inlineStr">
        <is>
          <t>Complaints may contain faces, vehicle numbers, addresses and health information</t>
        </is>
      </c>
      <c r="C12" s="21" t="inlineStr">
        <is>
          <t>Define retention, redaction, access controls and audit logging.</t>
        </is>
      </c>
      <c r="D12" s="21" t="inlineStr">
        <is>
          <t>Legal/Security</t>
        </is>
      </c>
      <c r="E12" s="18" t="inlineStr">
        <is>
          <t>Open</t>
        </is>
      </c>
    </row>
    <row r="13" ht="70" customHeight="1">
      <c r="A13" s="15" t="inlineStr">
        <is>
          <t>Government approval of AI recommendations</t>
        </is>
      </c>
      <c r="B13" s="15" t="inlineStr">
        <is>
          <t>This workbook is research and design guidance, not an official allocation order</t>
        </is>
      </c>
      <c r="C13" s="16" t="inlineStr">
        <is>
          <t>Run department workshops, obtain sign-off and version every approved routing rule.</t>
        </is>
      </c>
      <c r="D13" s="16" t="inlineStr">
        <is>
          <t>GBA + agencies</t>
        </is>
      </c>
      <c r="E13" s="18" t="inlineStr">
        <is>
          <t>Open</t>
        </is>
      </c>
    </row>
  </sheetData>
  <autoFilter ref="A2:E13"/>
  <mergeCells count="1">
    <mergeCell ref="A1:E1"/>
  </mergeCell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70" customWidth="1" min="3" max="3"/>
    <col width="72" customWidth="1" min="4" max="4"/>
    <col width="16" customWidth="1" min="5" max="5"/>
  </cols>
  <sheetData>
    <row r="1" ht="28" customHeight="1">
      <c r="A1" s="1" t="inlineStr">
        <is>
          <t>Official Source Register</t>
        </is>
      </c>
    </row>
    <row r="2" ht="34" customHeight="1">
      <c r="A2" s="6" t="inlineStr">
        <is>
          <t>Source ID</t>
        </is>
      </c>
      <c r="B2" s="6" t="inlineStr">
        <is>
          <t>Official Agency / Page</t>
        </is>
      </c>
      <c r="C2" s="6" t="inlineStr">
        <is>
          <t>Official URL</t>
        </is>
      </c>
      <c r="D2" s="6" t="inlineStr">
        <is>
          <t>Evidence Used</t>
        </is>
      </c>
      <c r="E2" s="6" t="inlineStr">
        <is>
          <t>Checked On</t>
        </is>
      </c>
    </row>
    <row r="3" ht="62" customHeight="1">
      <c r="A3" s="15" t="inlineStr">
        <is>
          <t>S01</t>
        </is>
      </c>
      <c r="B3" s="19" t="inlineStr">
        <is>
          <t>Greater Bengaluru Authority (GBA) official portal</t>
        </is>
      </c>
      <c r="C3" s="28" t="inlineStr">
        <is>
          <t>https://www.gba.karnataka.gov.in/</t>
        </is>
      </c>
      <c r="D3" s="19" t="inlineStr">
        <is>
          <t>GBA umbrella, five city corporations, Sahaaya and civic e-services.</t>
        </is>
      </c>
      <c r="E3" s="29" t="n">
        <v>46238</v>
      </c>
    </row>
    <row r="4" ht="62" customHeight="1">
      <c r="A4" s="20" t="inlineStr">
        <is>
          <t>S02</t>
        </is>
      </c>
      <c r="B4" s="22" t="inlineStr">
        <is>
          <t>GBA corporations delimitation</t>
        </is>
      </c>
      <c r="C4" s="30" t="inlineStr">
        <is>
          <t>https://gba.karnataka.gov.in/gba-corporations-delimitation-2025/index.html</t>
        </is>
      </c>
      <c r="D4" s="22" t="inlineStr">
        <is>
          <t>Official Central, North, East, South and West corporation structure.</t>
        </is>
      </c>
      <c r="E4" s="31" t="n">
        <v>46238</v>
      </c>
    </row>
    <row r="5" ht="62" customHeight="1">
      <c r="A5" s="15" t="inlineStr">
        <is>
          <t>S03</t>
        </is>
      </c>
      <c r="B5" s="19" t="inlineStr">
        <is>
          <t>Sahaaya 2.0 Citizen Review Report</t>
        </is>
      </c>
      <c r="C5" s="28" t="inlineStr">
        <is>
          <t>https://sahaaya2.bbmp.gov.in/Grievance/ReviewReport.aspx</t>
        </is>
      </c>
      <c r="D5" s="19" t="inlineStr">
        <is>
          <t>Official department/category/zone/division/ward routing fields.</t>
        </is>
      </c>
      <c r="E5" s="29" t="n">
        <v>46238</v>
      </c>
    </row>
    <row r="6" ht="62" customHeight="1">
      <c r="A6" s="20" t="inlineStr">
        <is>
          <t>S04</t>
        </is>
      </c>
      <c r="B6" s="22" t="inlineStr">
        <is>
          <t>Fix My Street / BBMP IT</t>
        </is>
      </c>
      <c r="C6" s="30" t="inlineStr">
        <is>
          <t>https://site.bbmp.gov.in/departmentwebsites/BBMPIT/fms.html</t>
        </is>
      </c>
      <c r="D6" s="22" t="inlineStr">
        <is>
          <t>Potholes, streetlights, garbage, geotagging and transfer between ward/department.</t>
        </is>
      </c>
      <c r="E6" s="31" t="n">
        <v>46238</v>
      </c>
    </row>
    <row r="7" ht="62" customHeight="1">
      <c r="A7" s="15" t="inlineStr">
        <is>
          <t>S05</t>
        </is>
      </c>
      <c r="B7" s="19" t="inlineStr">
        <is>
          <t>Municipal Engineering overview</t>
        </is>
      </c>
      <c r="C7" s="28" t="inlineStr">
        <is>
          <t>https://site.bbmp.gov.in/departmentwebsites/Eng/about.html</t>
        </is>
      </c>
      <c r="D7" s="19" t="inlineStr">
        <is>
          <t>Municipal engineering and basic infrastructure scope.</t>
        </is>
      </c>
      <c r="E7" s="29" t="n">
        <v>46238</v>
      </c>
    </row>
    <row r="8" ht="62" customHeight="1">
      <c r="A8" s="20" t="inlineStr">
        <is>
          <t>S06</t>
        </is>
      </c>
      <c r="B8" s="22" t="inlineStr">
        <is>
          <t>Municipal Engineering department directory</t>
        </is>
      </c>
      <c r="C8" s="30" t="inlineStr">
        <is>
          <t>https://site.bbmp.gov.in/departmentwebsites/Eng/indexEnglish.html</t>
        </is>
      </c>
      <c r="D8" s="22" t="inlineStr">
        <is>
          <t>Major Roads, Road Infrastructure, Ducts, Lakes, SWD and project units.</t>
        </is>
      </c>
      <c r="E8" s="31" t="n">
        <v>46238</v>
      </c>
    </row>
    <row r="9" ht="62" customHeight="1">
      <c r="A9" s="15" t="inlineStr">
        <is>
          <t>S07</t>
        </is>
      </c>
      <c r="B9" s="19" t="inlineStr">
        <is>
          <t>Duct Services / road-cutting permissions</t>
        </is>
      </c>
      <c r="C9" s="28" t="inlineStr">
        <is>
          <t>https://site.bbmp.gov.in/departmentwebsites/Eng/EngDuct.html</t>
        </is>
      </c>
      <c r="D9" s="19" t="inlineStr">
        <is>
          <t>Road cutting involving BESCOM, BWSSB, KPTCL, BSNL and telecom providers.</t>
        </is>
      </c>
      <c r="E9" s="29" t="n">
        <v>46238</v>
      </c>
    </row>
    <row r="10" ht="62" customHeight="1">
      <c r="A10" s="20" t="inlineStr">
        <is>
          <t>S08</t>
        </is>
      </c>
      <c r="B10" s="22" t="inlineStr">
        <is>
          <t>Multi-Agency Road Cutting Coordination System (MARCS)</t>
        </is>
      </c>
      <c r="C10" s="30" t="inlineStr">
        <is>
          <t>https://site.bbmp.gov.in/departmentwebsites/bbmpit/marcs.html</t>
        </is>
      </c>
      <c r="D10" s="22" t="inlineStr">
        <is>
          <t>Utility road cutting, restoration, inspection and multi-agency coordination.</t>
        </is>
      </c>
      <c r="E10" s="31" t="n">
        <v>46238</v>
      </c>
    </row>
    <row r="11" ht="62" customHeight="1">
      <c r="A11" s="15" t="inlineStr">
        <is>
          <t>S09</t>
        </is>
      </c>
      <c r="B11" s="19" t="inlineStr">
        <is>
          <t>Solid Waste Management</t>
        </is>
      </c>
      <c r="C11" s="28" t="inlineStr">
        <is>
          <t>https://site.bbmp.gov.in/departmentwebsites/swm/</t>
        </is>
      </c>
      <c r="D11" s="19" t="inlineStr">
        <is>
          <t>Municipal solid waste, collection, street sweeping, toilets and waste streams.</t>
        </is>
      </c>
      <c r="E11" s="29" t="n">
        <v>46238</v>
      </c>
    </row>
    <row r="12" ht="62" customHeight="1">
      <c r="A12" s="20" t="inlineStr">
        <is>
          <t>S10</t>
        </is>
      </c>
      <c r="B12" s="22" t="inlineStr">
        <is>
          <t>Lakes Department functions</t>
        </is>
      </c>
      <c r="C12" s="30" t="inlineStr">
        <is>
          <t>https://site.bbmp.gov.in/departmentwebsites/lakes/Activities.html</t>
        </is>
      </c>
      <c r="D12" s="22" t="inlineStr">
        <is>
          <t>Lake protection, restoration, encroachment, water quality and interdepartmental coordination.</t>
        </is>
      </c>
      <c r="E12" s="31" t="n">
        <v>46238</v>
      </c>
    </row>
    <row r="13" ht="62" customHeight="1">
      <c r="A13" s="15" t="inlineStr">
        <is>
          <t>S11</t>
        </is>
      </c>
      <c r="B13" s="19" t="inlineStr">
        <is>
          <t>Lake custody summary</t>
        </is>
      </c>
      <c r="C13" s="28" t="inlineStr">
        <is>
          <t>https://site.bbmp.gov.in/departmentwebsites/Lakes/Abstract.html</t>
        </is>
      </c>
      <c r="D13" s="19" t="inlineStr">
        <is>
          <t>Shows that lake ownership/custody varies among municipal, BDA, Forest and Metro agencies.</t>
        </is>
      </c>
      <c r="E13" s="29" t="n">
        <v>46238</v>
      </c>
    </row>
    <row r="14" ht="62" customHeight="1">
      <c r="A14" s="20" t="inlineStr">
        <is>
          <t>S12</t>
        </is>
      </c>
      <c r="B14" s="22" t="inlineStr">
        <is>
          <t>Rajakaluve / SWD encroachment</t>
        </is>
      </c>
      <c r="C14" s="30" t="inlineStr">
        <is>
          <t>https://site.bbmp.gov.in/encroachment.html</t>
        </is>
      </c>
      <c r="D14" s="22" t="inlineStr">
        <is>
          <t>Storm-water-drain encroachment and zone/ward records.</t>
        </is>
      </c>
      <c r="E14" s="31" t="n">
        <v>46238</v>
      </c>
    </row>
    <row r="15" ht="62" customHeight="1">
      <c r="A15" s="15" t="inlineStr">
        <is>
          <t>S13</t>
        </is>
      </c>
      <c r="B15" s="19" t="inlineStr">
        <is>
          <t>BWSSB official overview</t>
        </is>
      </c>
      <c r="C15" s="28" t="inlineStr">
        <is>
          <t>https://bwssb.karnataka.gov.in/31/About%20BWSSB/en</t>
        </is>
      </c>
      <c r="D15" s="19" t="inlineStr">
        <is>
          <t>Water supply, sewerage, sewage collection/conveyance/treatment and water charges.</t>
        </is>
      </c>
      <c r="E15" s="29" t="n">
        <v>46238</v>
      </c>
    </row>
    <row r="16" ht="62" customHeight="1">
      <c r="A16" s="20" t="inlineStr">
        <is>
          <t>S14</t>
        </is>
      </c>
      <c r="B16" s="22" t="inlineStr">
        <is>
          <t>BWSSB CRM complaint form</t>
        </is>
      </c>
      <c r="C16" s="30" t="inlineStr">
        <is>
          <t>https://cms.bwssb.gov.in/module/complain/new_complaint</t>
        </is>
      </c>
      <c r="D16" s="22" t="inlineStr">
        <is>
          <t>Official category/subcategory complaint intake with location and RR number.</t>
        </is>
      </c>
      <c r="E16" s="31" t="n">
        <v>46238</v>
      </c>
    </row>
    <row r="17" ht="62" customHeight="1">
      <c r="A17" s="15" t="inlineStr">
        <is>
          <t>S15</t>
        </is>
      </c>
      <c r="B17" s="19" t="inlineStr">
        <is>
          <t>BESCOM official contact channels</t>
        </is>
      </c>
      <c r="C17" s="28" t="inlineStr">
        <is>
          <t>https://bescom.karnataka.gov.in/301/Contact%20Us/en</t>
        </is>
      </c>
      <c r="D17" s="19" t="inlineStr">
        <is>
          <t>Electricity complaints, 1912, online complaint and safety channels.</t>
        </is>
      </c>
      <c r="E17" s="29" t="n">
        <v>46238</v>
      </c>
    </row>
    <row r="18" ht="62" customHeight="1">
      <c r="A18" s="20" t="inlineStr">
        <is>
          <t>S16</t>
        </is>
      </c>
      <c r="B18" s="22" t="inlineStr">
        <is>
          <t>BESCOM self-service portal</t>
        </is>
      </c>
      <c r="C18" s="30" t="inlineStr">
        <is>
          <t>https://www.bescom.co.in/</t>
        </is>
      </c>
      <c r="D18" s="22" t="inlineStr">
        <is>
          <t>Connections, billing, meter, tariff, load and service requests.</t>
        </is>
      </c>
      <c r="E18" s="31" t="n">
        <v>46238</v>
      </c>
    </row>
    <row r="19" ht="62" customHeight="1">
      <c r="A19" s="15" t="inlineStr">
        <is>
          <t>S17</t>
        </is>
      </c>
      <c r="B19" s="19" t="inlineStr">
        <is>
          <t>Bengaluru Traffic Police complaint guidance</t>
        </is>
      </c>
      <c r="C19" s="28" t="inlineStr">
        <is>
          <t>https://btp.karnataka.gov.in/200/be-aware-be-smart/en</t>
        </is>
      </c>
      <c r="D19" s="19" t="inlineStr">
        <is>
          <t>Traffic violations, auto/cab complaints, app, website and 112.</t>
        </is>
      </c>
      <c r="E19" s="29" t="n">
        <v>46238</v>
      </c>
    </row>
    <row r="20" ht="62" customHeight="1">
      <c r="A20" s="20" t="inlineStr">
        <is>
          <t>S18</t>
        </is>
      </c>
      <c r="B20" s="22" t="inlineStr">
        <is>
          <t>Bengaluru Traffic Police Traffic Management Centre</t>
        </is>
      </c>
      <c r="C20" s="30" t="inlineStr">
        <is>
          <t>https://btp.karnataka.gov.in/tmc/en</t>
        </is>
      </c>
      <c r="D20" s="22" t="inlineStr">
        <is>
          <t>Congestion, signals, accidents, breakdowns, illegal parking and 112 response.</t>
        </is>
      </c>
      <c r="E20" s="31" t="n">
        <v>46238</v>
      </c>
    </row>
    <row r="21" ht="62" customHeight="1">
      <c r="A21" s="15" t="inlineStr">
        <is>
          <t>S19</t>
        </is>
      </c>
      <c r="B21" s="19" t="inlineStr">
        <is>
          <t>BMRCL contact and grievance responsibilities</t>
        </is>
      </c>
      <c r="C21" s="28" t="inlineStr">
        <is>
          <t>https://english.bmrc.co.in/contact/</t>
        </is>
      </c>
      <c r="D21" s="19" t="inlineStr">
        <is>
          <t>Metro project works, utility shifting, stations, security, travel, recharge and tokens.</t>
        </is>
      </c>
      <c r="E21" s="29" t="n">
        <v>46238</v>
      </c>
    </row>
    <row r="22" ht="62" customHeight="1">
      <c r="A22" s="20" t="inlineStr">
        <is>
          <t>S20</t>
        </is>
      </c>
      <c r="B22" s="22" t="inlineStr">
        <is>
          <t>BMTC complaints</t>
        </is>
      </c>
      <c r="C22" s="30" t="inlineStr">
        <is>
          <t>https://mybmtc.karnataka.gov.in/10/complaints/en</t>
        </is>
      </c>
      <c r="D22" s="22" t="inlineStr">
        <is>
          <t>Official BMTC complaint page.</t>
        </is>
      </c>
      <c r="E22" s="31" t="n">
        <v>46238</v>
      </c>
    </row>
    <row r="23" ht="62" customHeight="1">
      <c r="A23" s="15" t="inlineStr">
        <is>
          <t>S21</t>
        </is>
      </c>
      <c r="B23" s="19" t="inlineStr">
        <is>
          <t>Karnataka PWD feedback</t>
        </is>
      </c>
      <c r="C23" s="28" t="inlineStr">
        <is>
          <t>https://kpwd.karnataka.gov.in/feedback/en</t>
        </is>
      </c>
      <c r="D23" s="19" t="inlineStr">
        <is>
          <t>State PWD feedback and road/bridge ownership fallback.</t>
        </is>
      </c>
      <c r="E23" s="29" t="n">
        <v>46238</v>
      </c>
    </row>
    <row r="24" ht="62" customHeight="1">
      <c r="A24" s="20" t="inlineStr">
        <is>
          <t>S22</t>
        </is>
      </c>
      <c r="B24" s="22" t="inlineStr">
        <is>
          <t>KRDCL complaint/feedback</t>
        </is>
      </c>
      <c r="C24" s="30" t="inlineStr">
        <is>
          <t>https://www.krdcl.in/en/complaint</t>
        </is>
      </c>
      <c r="D24" s="22" t="inlineStr">
        <is>
          <t>KRDCL road, bridge and project complaint/feedback channel.</t>
        </is>
      </c>
      <c r="E24" s="31" t="n">
        <v>46238</v>
      </c>
    </row>
    <row r="25" ht="62" customHeight="1">
      <c r="A25" s="15" t="inlineStr">
        <is>
          <t>S23</t>
        </is>
      </c>
      <c r="B25" s="19" t="inlineStr">
        <is>
          <t>Karnataka State Pollution Control Board</t>
        </is>
      </c>
      <c r="C25" s="28" t="inlineStr">
        <is>
          <t>https://kspcb.karnataka.gov.in/contact-us-0</t>
        </is>
      </c>
      <c r="D25" s="19" t="inlineStr">
        <is>
          <t>Environmental pollution complaint contacts and Bengaluru offices.</t>
        </is>
      </c>
      <c r="E25" s="29" t="n">
        <v>46238</v>
      </c>
    </row>
    <row r="26" ht="62" customHeight="1">
      <c r="A26" s="20" t="inlineStr">
        <is>
          <t>S24</t>
        </is>
      </c>
      <c r="B26" s="22" t="inlineStr">
        <is>
          <t>Karnataka Fire and Emergency Services</t>
        </is>
      </c>
      <c r="C26" s="30" t="inlineStr">
        <is>
          <t>https://ksfes.karnataka.gov.in/en</t>
        </is>
      </c>
      <c r="D26" s="22" t="inlineStr">
        <is>
          <t>Emergency helplines 101 and 112.</t>
        </is>
      </c>
      <c r="E26" s="31" t="n">
        <v>46238</v>
      </c>
    </row>
    <row r="27" ht="62" customHeight="1">
      <c r="A27" s="15" t="inlineStr">
        <is>
          <t>S25</t>
        </is>
      </c>
      <c r="B27" s="19" t="inlineStr">
        <is>
          <t>NHAI RajmargYatra</t>
        </is>
      </c>
      <c r="C27" s="28" t="inlineStr">
        <is>
          <t>https://rajmargyatra.nhai.gov.in/</t>
        </is>
      </c>
      <c r="D27" s="19" t="inlineStr">
        <is>
          <t>National Highway road complaints and 24x7 1033 assistance.</t>
        </is>
      </c>
      <c r="E27" s="29" t="n">
        <v>46238</v>
      </c>
    </row>
    <row r="28" ht="62" customHeight="1">
      <c r="A28" s="20" t="inlineStr">
        <is>
          <t>S26</t>
        </is>
      </c>
      <c r="B28" s="22" t="inlineStr">
        <is>
          <t>Municipal OFC / utility coordination records</t>
        </is>
      </c>
      <c r="C28" s="30" t="inlineStr">
        <is>
          <t>https://site.bbmp.gov.in/departmentwebsites/Eng/ofc.html</t>
        </is>
      </c>
      <c r="D28" s="22" t="inlineStr">
        <is>
          <t>OFC permissions, road restoration, arterial/sub-arterial roads and utility works.</t>
        </is>
      </c>
      <c r="E28" s="31" t="n">
        <v>46238</v>
      </c>
    </row>
  </sheetData>
  <autoFilter ref="A2:E28"/>
  <mergeCells count="1">
    <mergeCell ref="A1:E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</hyperlinks>
  <pageMargins left="0.25" right="0.25" top="0.5" bottom="0.5" header="0.5" footer="0.5"/>
  <pageSetup fitToHeight="0" fitToWidth="1"/>
  <headerFooter>
    <oddHeader/>
    <oddFooter>&amp;CResearch date: 04 Aug 2026 | Validate with agencies before production use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Bengaluru Civic Issue Department Routing Matrix</dc:title>
  <dc:subject xmlns:dc="http://purl.org/dc/elements/1.1/">Official-source research and recommended multi-department routing rules</dc:subject>
  <dcterms:created xmlns:dcterms="http://purl.org/dc/terms/" xmlns:xsi="http://www.w3.org/2001/XMLSchema-instance" xsi:type="dcterms:W3CDTF">2026-08-04T07:07:47Z</dcterms:created>
  <dcterms:modified xmlns:dcterms="http://purl.org/dc/terms/" xmlns:xsi="http://www.w3.org/2001/XMLSchema-instance" xsi:type="dcterms:W3CDTF">2026-08-04T07:07:47Z</dcterms:modified>
  <cp:keywords>Bengaluru GBA BBMP BWSSB BESCOM BTP civic complaints routing AI</cp:keywords>
</cp:coreProperties>
</file>